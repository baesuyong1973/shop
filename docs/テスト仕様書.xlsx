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表紙" sheetId="1" state="visible" r:id="rId3"/>
    <sheet name="概要・集計" sheetId="2" state="visible" r:id="rId4"/>
    <sheet name="機能テスト" sheetId="3" state="visible" r:id="rId5"/>
    <sheet name="E2Eテスト" sheetId="4" state="visible" r:id="rId6"/>
  </sheets>
  <definedNames>
    <definedName function="false" hidden="false" localSheetId="3" name="_xlnm.Print_Titles" vbProcedure="false">E2Eテスト!$1:$1</definedName>
    <definedName function="false" hidden="true" localSheetId="3" name="_xlnm._FilterDatabase" vbProcedure="false">E2Eテスト!$A$1:$I$7</definedName>
    <definedName function="false" hidden="false" localSheetId="2" name="_xlnm.Print_Titles" vbProcedure="false">機能テスト!$1:$1</definedName>
    <definedName function="false" hidden="true" localSheetId="2" name="_xlnm._FilterDatabase" vbProcedure="false">機能テスト!$A$1:$J$203</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テスト仕様書</author>
  </authors>
  <commentList>
    <comment ref="C10" authorId="0">
      <text>
        <r>
          <rPr>
            <sz val="10"/>
            <rFont val="Noto Sans CJK SC"/>
            <family val="2"/>
          </rPr>
          <t xml:space="preserve">作成者名を入力してください。</t>
        </r>
      </text>
    </comment>
  </commentList>
</comments>
</file>

<file path=xl/sharedStrings.xml><?xml version="1.0" encoding="utf-8"?>
<sst xmlns="http://schemas.openxmlformats.org/spreadsheetml/2006/main" count="1535" uniqueCount="519">
  <si>
    <r>
      <rPr>
        <b val="true"/>
        <sz val="20"/>
        <color rgb="FF1F4E78"/>
        <rFont val="Meiryo UI"/>
        <family val="0"/>
        <charset val="1"/>
      </rPr>
      <t xml:space="preserve">youstore </t>
    </r>
    <r>
      <rPr>
        <b val="true"/>
        <sz val="20"/>
        <color rgb="FF1F4E78"/>
        <rFont val="Noto Sans CJK SC"/>
        <family val="2"/>
      </rPr>
      <t xml:space="preserve">テスト仕様書</t>
    </r>
  </si>
  <si>
    <r>
      <rPr>
        <sz val="12"/>
        <color rgb="FF595959"/>
        <rFont val="Noto Sans CJK SC"/>
        <family val="2"/>
      </rPr>
      <t xml:space="preserve">機能テスト（</t>
    </r>
    <r>
      <rPr>
        <sz val="12"/>
        <color rgb="FF595959"/>
        <rFont val="Meiryo UI"/>
        <family val="0"/>
        <charset val="1"/>
      </rPr>
      <t xml:space="preserve">PHPUnit</t>
    </r>
    <r>
      <rPr>
        <sz val="12"/>
        <color rgb="FF595959"/>
        <rFont val="Noto Sans CJK SC"/>
        <family val="2"/>
      </rPr>
      <t xml:space="preserve">）・</t>
    </r>
    <r>
      <rPr>
        <sz val="12"/>
        <color rgb="FF595959"/>
        <rFont val="Meiryo UI"/>
        <family val="0"/>
        <charset val="1"/>
      </rPr>
      <t xml:space="preserve">E2E</t>
    </r>
    <r>
      <rPr>
        <sz val="12"/>
        <color rgb="FF595959"/>
        <rFont val="Noto Sans CJK SC"/>
        <family val="2"/>
      </rPr>
      <t xml:space="preserve">テスト（</t>
    </r>
    <r>
      <rPr>
        <sz val="12"/>
        <color rgb="FF595959"/>
        <rFont val="Meiryo UI"/>
        <family val="0"/>
        <charset val="1"/>
      </rPr>
      <t xml:space="preserve">Playwright</t>
    </r>
    <r>
      <rPr>
        <sz val="12"/>
        <color rgb="FF595959"/>
        <rFont val="Noto Sans CJK SC"/>
        <family val="2"/>
      </rPr>
      <t xml:space="preserve">）</t>
    </r>
  </si>
  <si>
    <t xml:space="preserve">システム名</t>
  </si>
  <si>
    <r>
      <rPr>
        <sz val="10"/>
        <rFont val="Meiryo UI"/>
        <family val="0"/>
        <charset val="1"/>
      </rPr>
      <t xml:space="preserve">youstore</t>
    </r>
    <r>
      <rPr>
        <sz val="10"/>
        <rFont val="Noto Sans CJK SC"/>
        <family val="2"/>
      </rPr>
      <t xml:space="preserve">（</t>
    </r>
    <r>
      <rPr>
        <sz val="10"/>
        <rFont val="Meiryo UI"/>
        <family val="0"/>
        <charset val="1"/>
      </rPr>
      <t xml:space="preserve">https://youstore.info</t>
    </r>
    <r>
      <rPr>
        <sz val="10"/>
        <rFont val="Noto Sans CJK SC"/>
        <family val="2"/>
      </rPr>
      <t xml:space="preserve">）</t>
    </r>
  </si>
  <si>
    <t xml:space="preserve">版数</t>
  </si>
  <si>
    <t xml:space="preserve">1.0</t>
  </si>
  <si>
    <t xml:space="preserve">作成日</t>
  </si>
  <si>
    <t xml:space="preserve">作成者</t>
  </si>
  <si>
    <t xml:space="preserve">対象バージョン</t>
  </si>
  <si>
    <r>
      <rPr>
        <sz val="10"/>
        <rFont val="Meiryo UI"/>
        <family val="0"/>
        <charset val="1"/>
      </rPr>
      <t xml:space="preserve">main </t>
    </r>
    <r>
      <rPr>
        <sz val="10"/>
        <rFont val="Noto Sans CJK SC"/>
        <family val="2"/>
      </rPr>
      <t xml:space="preserve">ブランチ コミット </t>
    </r>
    <r>
      <rPr>
        <sz val="10"/>
        <rFont val="Meiryo UI"/>
        <family val="0"/>
        <charset val="1"/>
      </rPr>
      <t xml:space="preserve">3ec2deb</t>
    </r>
  </si>
  <si>
    <t xml:space="preserve">テスト実施日</t>
  </si>
  <si>
    <t xml:space="preserve">改訂履歴</t>
  </si>
  <si>
    <t xml:space="preserve">改訂内容</t>
  </si>
  <si>
    <t xml:space="preserve">改訂日</t>
  </si>
  <si>
    <t xml:space="preserve">改訂者</t>
  </si>
  <si>
    <t xml:space="preserve">初版作成</t>
  </si>
  <si>
    <r>
      <rPr>
        <b val="true"/>
        <sz val="12"/>
        <color rgb="FF1F4E78"/>
        <rFont val="Meiryo UI"/>
        <family val="0"/>
        <charset val="1"/>
      </rPr>
      <t xml:space="preserve">1. </t>
    </r>
    <r>
      <rPr>
        <b val="true"/>
        <sz val="12"/>
        <color rgb="FF1F4E78"/>
        <rFont val="Noto Sans CJK SC"/>
        <family val="2"/>
      </rPr>
      <t xml:space="preserve">テストの種類</t>
    </r>
  </si>
  <si>
    <t xml:space="preserve">種類</t>
  </si>
  <si>
    <t xml:space="preserve">ツール</t>
  </si>
  <si>
    <t xml:space="preserve">件数</t>
  </si>
  <si>
    <t xml:space="preserve">内容</t>
  </si>
  <si>
    <t xml:space="preserve">機能テスト</t>
  </si>
  <si>
    <t xml:space="preserve">PHPUnit</t>
  </si>
  <si>
    <r>
      <rPr>
        <sz val="10"/>
        <rFont val="Meiryo UI"/>
        <family val="0"/>
        <charset val="1"/>
      </rPr>
      <t xml:space="preserve">URL</t>
    </r>
    <r>
      <rPr>
        <sz val="10"/>
        <rFont val="Noto Sans CJK SC"/>
        <family val="2"/>
      </rPr>
      <t xml:space="preserve">にリクエストを送り、サーバー側（</t>
    </r>
    <r>
      <rPr>
        <sz val="10"/>
        <rFont val="Meiryo UI"/>
        <family val="0"/>
        <charset val="1"/>
      </rPr>
      <t xml:space="preserve">Laravel</t>
    </r>
    <r>
      <rPr>
        <sz val="10"/>
        <rFont val="Noto Sans CJK SC"/>
        <family val="2"/>
      </rPr>
      <t xml:space="preserve">）の処理・</t>
    </r>
    <r>
      <rPr>
        <sz val="10"/>
        <rFont val="Meiryo UI"/>
        <family val="0"/>
        <charset val="1"/>
      </rPr>
      <t xml:space="preserve">DB</t>
    </r>
    <r>
      <rPr>
        <sz val="10"/>
        <rFont val="Noto Sans CJK SC"/>
        <family val="2"/>
      </rPr>
      <t xml:space="preserve">・メール・権限を確認する。ブラウザは使わない。</t>
    </r>
  </si>
  <si>
    <r>
      <rPr>
        <sz val="10"/>
        <rFont val="Meiryo UI"/>
        <family val="0"/>
        <charset val="1"/>
      </rPr>
      <t xml:space="preserve">E2E</t>
    </r>
    <r>
      <rPr>
        <sz val="10"/>
        <rFont val="Noto Sans CJK SC"/>
        <family val="2"/>
      </rPr>
      <t xml:space="preserve">テスト</t>
    </r>
  </si>
  <si>
    <t xml:space="preserve">Playwright</t>
  </si>
  <si>
    <r>
      <rPr>
        <sz val="10"/>
        <rFont val="Noto Sans CJK SC"/>
        <family val="2"/>
      </rPr>
      <t xml:space="preserve">実際のブラウザ（</t>
    </r>
    <r>
      <rPr>
        <sz val="10"/>
        <rFont val="Meiryo UI"/>
        <family val="0"/>
        <charset val="1"/>
      </rPr>
      <t xml:space="preserve">Chromium</t>
    </r>
    <r>
      <rPr>
        <sz val="10"/>
        <rFont val="Noto Sans CJK SC"/>
        <family val="2"/>
      </rPr>
      <t xml:space="preserve">）で画面を操作し、主要な業務の流れを最後まで確認する。</t>
    </r>
  </si>
  <si>
    <r>
      <rPr>
        <b val="true"/>
        <sz val="12"/>
        <color rgb="FF1F4E78"/>
        <rFont val="Meiryo UI"/>
        <family val="0"/>
        <charset val="1"/>
      </rPr>
      <t xml:space="preserve">2. </t>
    </r>
    <r>
      <rPr>
        <b val="true"/>
        <sz val="12"/>
        <color rgb="FF1F4E78"/>
        <rFont val="Noto Sans CJK SC"/>
        <family val="2"/>
      </rPr>
      <t xml:space="preserve">結果集計</t>
    </r>
  </si>
  <si>
    <t xml:space="preserve">区分</t>
  </si>
  <si>
    <t xml:space="preserve">OK</t>
  </si>
  <si>
    <t xml:space="preserve">NG</t>
  </si>
  <si>
    <t xml:space="preserve">スキップ</t>
  </si>
  <si>
    <t xml:space="preserve">未実施</t>
  </si>
  <si>
    <t xml:space="preserve">合格率</t>
  </si>
  <si>
    <t xml:space="preserve">機能テスト：ショップ</t>
  </si>
  <si>
    <t xml:space="preserve">機能テスト：会員</t>
  </si>
  <si>
    <t xml:space="preserve">機能テスト：管理画面</t>
  </si>
  <si>
    <t xml:space="preserve">機能テスト：共通</t>
  </si>
  <si>
    <t xml:space="preserve">合計</t>
  </si>
  <si>
    <t xml:space="preserve">※ 件数・合格率は各シートの「結果」列から自動で集計されます。</t>
  </si>
  <si>
    <r>
      <rPr>
        <b val="true"/>
        <sz val="12"/>
        <color rgb="FF1F4E78"/>
        <rFont val="Meiryo UI"/>
        <family val="0"/>
        <charset val="1"/>
      </rPr>
      <t xml:space="preserve">3. </t>
    </r>
    <r>
      <rPr>
        <b val="true"/>
        <sz val="12"/>
        <color rgb="FF1F4E78"/>
        <rFont val="Noto Sans CJK SC"/>
        <family val="2"/>
      </rPr>
      <t xml:space="preserve">実行環境と実行方法</t>
    </r>
  </si>
  <si>
    <t xml:space="preserve">実行環境</t>
  </si>
  <si>
    <r>
      <rPr>
        <sz val="10"/>
        <rFont val="Noto Sans CJK SC"/>
        <family val="2"/>
      </rPr>
      <t xml:space="preserve">開発環境（</t>
    </r>
    <r>
      <rPr>
        <sz val="10"/>
        <rFont val="Meiryo UI"/>
        <family val="0"/>
        <charset val="1"/>
      </rPr>
      <t xml:space="preserve">Docker</t>
    </r>
    <r>
      <rPr>
        <sz val="10"/>
        <rFont val="Noto Sans CJK SC"/>
        <family val="2"/>
      </rPr>
      <t xml:space="preserve">：</t>
    </r>
    <r>
      <rPr>
        <sz val="10"/>
        <rFont val="Meiryo UI"/>
        <family val="0"/>
        <charset val="1"/>
      </rPr>
      <t xml:space="preserve">PHP 8.3 / MySQL 8.0 / Redis / Mailpit</t>
    </r>
    <r>
      <rPr>
        <sz val="10"/>
        <rFont val="Noto Sans CJK SC"/>
        <family val="2"/>
      </rPr>
      <t xml:space="preserve">）</t>
    </r>
  </si>
  <si>
    <r>
      <rPr>
        <b val="true"/>
        <sz val="10"/>
        <rFont val="Noto Sans CJK SC"/>
        <family val="2"/>
      </rPr>
      <t xml:space="preserve">機能テストの</t>
    </r>
    <r>
      <rPr>
        <b val="true"/>
        <sz val="10"/>
        <rFont val="Meiryo UI"/>
        <family val="0"/>
        <charset val="1"/>
      </rPr>
      <t xml:space="preserve">DB</t>
    </r>
  </si>
  <si>
    <r>
      <rPr>
        <sz val="10"/>
        <rFont val="Meiryo UI"/>
        <family val="0"/>
        <charset val="1"/>
      </rPr>
      <t xml:space="preserve">SQLite</t>
    </r>
    <r>
      <rPr>
        <sz val="10"/>
        <rFont val="Noto Sans CJK SC"/>
        <family val="2"/>
      </rPr>
      <t xml:space="preserve">（メモリ上）。テストごとに作り直す</t>
    </r>
  </si>
  <si>
    <r>
      <rPr>
        <b val="true"/>
        <sz val="10"/>
        <rFont val="Meiryo UI"/>
        <family val="0"/>
        <charset val="1"/>
      </rPr>
      <t xml:space="preserve">E2E</t>
    </r>
    <r>
      <rPr>
        <b val="true"/>
        <sz val="10"/>
        <rFont val="Noto Sans CJK SC"/>
        <family val="2"/>
      </rPr>
      <t xml:space="preserve">テストの</t>
    </r>
    <r>
      <rPr>
        <b val="true"/>
        <sz val="10"/>
        <rFont val="Meiryo UI"/>
        <family val="0"/>
        <charset val="1"/>
      </rPr>
      <t xml:space="preserve">DB</t>
    </r>
  </si>
  <si>
    <r>
      <rPr>
        <sz val="10"/>
        <rFont val="Noto Sans CJK SC"/>
        <family val="2"/>
      </rPr>
      <t xml:space="preserve">専用</t>
    </r>
    <r>
      <rPr>
        <sz val="10"/>
        <rFont val="Meiryo UI"/>
        <family val="0"/>
        <charset val="1"/>
      </rPr>
      <t xml:space="preserve">DB laravel_e2e</t>
    </r>
    <r>
      <rPr>
        <sz val="10"/>
        <rFont val="Noto Sans CJK SC"/>
        <family val="2"/>
      </rPr>
      <t xml:space="preserve">。実行ごとにシードデータへ初期化する</t>
    </r>
  </si>
  <si>
    <r>
      <rPr>
        <b val="true"/>
        <sz val="10"/>
        <rFont val="Meiryo UI"/>
        <family val="0"/>
        <charset val="1"/>
      </rPr>
      <t xml:space="preserve">E2E</t>
    </r>
    <r>
      <rPr>
        <b val="true"/>
        <sz val="10"/>
        <rFont val="Noto Sans CJK SC"/>
        <family val="2"/>
      </rPr>
      <t xml:space="preserve">のアクセス先</t>
    </r>
  </si>
  <si>
    <r>
      <rPr>
        <sz val="10"/>
        <rFont val="Meiryo UI"/>
        <family val="0"/>
        <charset val="1"/>
      </rPr>
      <t xml:space="preserve">http://localhost:8090</t>
    </r>
    <r>
      <rPr>
        <sz val="10"/>
        <rFont val="Noto Sans CJK SC"/>
        <family val="2"/>
      </rPr>
      <t xml:space="preserve">（</t>
    </r>
    <r>
      <rPr>
        <sz val="10"/>
        <rFont val="Meiryo UI"/>
        <family val="0"/>
        <charset val="1"/>
      </rPr>
      <t xml:space="preserve">E2E</t>
    </r>
    <r>
      <rPr>
        <sz val="10"/>
        <rFont val="Noto Sans CJK SC"/>
        <family val="2"/>
      </rPr>
      <t xml:space="preserve">専用サーバー）</t>
    </r>
  </si>
  <si>
    <t xml:space="preserve">機能テストの実行</t>
  </si>
  <si>
    <t xml:space="preserve">docker compose exec app php artisan test</t>
  </si>
  <si>
    <t xml:space="preserve">カバレッジの出力</t>
  </si>
  <si>
    <t xml:space="preserve">docker compose exec app php artisan test --coverage-html=coverage  → src/coverage/index.html</t>
  </si>
  <si>
    <r>
      <rPr>
        <b val="true"/>
        <sz val="10"/>
        <rFont val="Meiryo UI"/>
        <family val="0"/>
        <charset val="1"/>
      </rPr>
      <t xml:space="preserve">E2E</t>
    </r>
    <r>
      <rPr>
        <b val="true"/>
        <sz val="10"/>
        <rFont val="Noto Sans CJK SC"/>
        <family val="2"/>
      </rPr>
      <t xml:space="preserve">テストの実行</t>
    </r>
  </si>
  <si>
    <r>
      <rPr>
        <sz val="10"/>
        <rFont val="Meiryo UI"/>
        <family val="0"/>
        <charset val="1"/>
      </rPr>
      <t xml:space="preserve">cd e2e → npm.cmd test</t>
    </r>
    <r>
      <rPr>
        <sz val="10"/>
        <rFont val="Noto Sans CJK SC"/>
        <family val="2"/>
      </rPr>
      <t xml:space="preserve">（画面を見ながら：</t>
    </r>
    <r>
      <rPr>
        <sz val="10"/>
        <rFont val="Meiryo UI"/>
        <family val="0"/>
        <charset val="1"/>
      </rPr>
      <t xml:space="preserve">npm.cmd run test:ui</t>
    </r>
    <r>
      <rPr>
        <sz val="10"/>
        <rFont val="Noto Sans CJK SC"/>
        <family val="2"/>
      </rPr>
      <t xml:space="preserve">）</t>
    </r>
  </si>
  <si>
    <t xml:space="preserve">カバレッジ</t>
  </si>
  <si>
    <r>
      <rPr>
        <sz val="10"/>
        <rFont val="Noto Sans CJK SC"/>
        <family val="2"/>
      </rPr>
      <t xml:space="preserve">機能テストで </t>
    </r>
    <r>
      <rPr>
        <sz val="10"/>
        <rFont val="Meiryo UI"/>
        <family val="0"/>
        <charset val="1"/>
      </rPr>
      <t xml:space="preserve">src/app </t>
    </r>
    <r>
      <rPr>
        <sz val="10"/>
        <rFont val="Noto Sans CJK SC"/>
        <family val="2"/>
      </rPr>
      <t xml:space="preserve">のコード </t>
    </r>
    <r>
      <rPr>
        <sz val="10"/>
        <rFont val="Meiryo UI"/>
        <family val="0"/>
        <charset val="1"/>
      </rPr>
      <t xml:space="preserve">100%</t>
    </r>
    <r>
      <rPr>
        <sz val="10"/>
        <rFont val="Noto Sans CJK SC"/>
        <family val="2"/>
      </rPr>
      <t xml:space="preserve">（</t>
    </r>
    <r>
      <rPr>
        <sz val="10"/>
        <rFont val="Meiryo UI"/>
        <family val="0"/>
        <charset val="1"/>
      </rPr>
      <t xml:space="preserve">2026/09/29 </t>
    </r>
    <r>
      <rPr>
        <sz val="10"/>
        <rFont val="Noto Sans CJK SC"/>
        <family val="2"/>
      </rPr>
      <t xml:space="preserve">時点）</t>
    </r>
  </si>
  <si>
    <r>
      <rPr>
        <b val="true"/>
        <sz val="12"/>
        <color rgb="FF1F4E78"/>
        <rFont val="Meiryo UI"/>
        <family val="0"/>
        <charset val="1"/>
      </rPr>
      <t xml:space="preserve">4. </t>
    </r>
    <r>
      <rPr>
        <b val="true"/>
        <sz val="12"/>
        <color rgb="FF1F4E78"/>
        <rFont val="Noto Sans CJK SC"/>
        <family val="2"/>
      </rPr>
      <t xml:space="preserve">記入方法</t>
    </r>
  </si>
  <si>
    <t xml:space="preserve">見出しが金色の列（結果・実施日・備考）は、再テスト時に記入・更新する列です。</t>
  </si>
  <si>
    <t xml:space="preserve">薄い黄色のセルは未記入の入力欄です（表紙の作成者など）。</t>
  </si>
  <si>
    <r>
      <rPr>
        <sz val="10"/>
        <rFont val="Noto Sans CJK SC"/>
        <family val="2"/>
      </rPr>
      <t xml:space="preserve">「結果」は </t>
    </r>
    <r>
      <rPr>
        <sz val="10"/>
        <rFont val="Meiryo UI"/>
        <family val="0"/>
        <charset val="1"/>
      </rPr>
      <t xml:space="preserve">OK / NG / </t>
    </r>
    <r>
      <rPr>
        <sz val="10"/>
        <rFont val="Noto Sans CJK SC"/>
        <family val="2"/>
      </rPr>
      <t xml:space="preserve">スキップ </t>
    </r>
    <r>
      <rPr>
        <sz val="10"/>
        <rFont val="Meiryo UI"/>
        <family val="0"/>
        <charset val="1"/>
      </rPr>
      <t xml:space="preserve">/ </t>
    </r>
    <r>
      <rPr>
        <sz val="10"/>
        <rFont val="Noto Sans CJK SC"/>
        <family val="2"/>
      </rPr>
      <t xml:space="preserve">未実施 から選択します。</t>
    </r>
    <r>
      <rPr>
        <sz val="10"/>
        <rFont val="Meiryo UI"/>
        <family val="0"/>
        <charset val="1"/>
      </rPr>
      <t xml:space="preserve">NG </t>
    </r>
    <r>
      <rPr>
        <sz val="10"/>
        <rFont val="Noto Sans CJK SC"/>
        <family val="2"/>
      </rPr>
      <t xml:space="preserve">は赤、</t>
    </r>
    <r>
      <rPr>
        <sz val="10"/>
        <rFont val="Meiryo UI"/>
        <family val="0"/>
        <charset val="1"/>
      </rPr>
      <t xml:space="preserve">OK </t>
    </r>
    <r>
      <rPr>
        <sz val="10"/>
        <rFont val="Noto Sans CJK SC"/>
        <family val="2"/>
      </rPr>
      <t xml:space="preserve">は緑で表示されます。</t>
    </r>
  </si>
  <si>
    <r>
      <rPr>
        <sz val="10"/>
        <rFont val="Noto Sans CJK SC"/>
        <family val="2"/>
      </rPr>
      <t xml:space="preserve">記入例：結果「</t>
    </r>
    <r>
      <rPr>
        <sz val="10"/>
        <rFont val="Meiryo UI"/>
        <family val="0"/>
        <charset val="1"/>
      </rPr>
      <t xml:space="preserve">OK</t>
    </r>
    <r>
      <rPr>
        <sz val="10"/>
        <rFont val="Noto Sans CJK SC"/>
        <family val="2"/>
      </rPr>
      <t xml:space="preserve">」、実施日「</t>
    </r>
    <r>
      <rPr>
        <sz val="10"/>
        <rFont val="Meiryo UI"/>
        <family val="0"/>
        <charset val="1"/>
      </rPr>
      <t xml:space="preserve">2026/09/29</t>
    </r>
    <r>
      <rPr>
        <sz val="10"/>
        <rFont val="Noto Sans CJK SC"/>
        <family val="2"/>
      </rPr>
      <t xml:space="preserve">」、備考「本番反映前に再実施」</t>
    </r>
  </si>
  <si>
    <t xml:space="preserve">No</t>
  </si>
  <si>
    <t xml:space="preserve">大分類</t>
  </si>
  <si>
    <t xml:space="preserve">中分類</t>
  </si>
  <si>
    <t xml:space="preserve">テストケース（確認内容）</t>
  </si>
  <si>
    <r>
      <rPr>
        <b val="true"/>
        <sz val="10"/>
        <color rgb="FFFFFFFF"/>
        <rFont val="Noto Sans CJK SC"/>
        <family val="2"/>
      </rPr>
      <t xml:space="preserve">操作（対象</t>
    </r>
    <r>
      <rPr>
        <b val="true"/>
        <sz val="10"/>
        <color rgb="FFFFFFFF"/>
        <rFont val="Meiryo UI"/>
        <family val="0"/>
        <charset val="1"/>
      </rPr>
      <t xml:space="preserve">URL</t>
    </r>
    <r>
      <rPr>
        <b val="true"/>
        <sz val="10"/>
        <color rgb="FFFFFFFF"/>
        <rFont val="Noto Sans CJK SC"/>
        <family val="2"/>
      </rPr>
      <t xml:space="preserve">）</t>
    </r>
  </si>
  <si>
    <t xml:space="preserve">主な検証項目</t>
  </si>
  <si>
    <t xml:space="preserve">テストファイル</t>
  </si>
  <si>
    <t xml:space="preserve">結果</t>
  </si>
  <si>
    <t xml:space="preserve">実施日</t>
  </si>
  <si>
    <t xml:space="preserve">備考</t>
  </si>
  <si>
    <t xml:space="preserve">ショップ</t>
  </si>
  <si>
    <t xml:space="preserve">店舗・静的ページ・言語</t>
  </si>
  <si>
    <t xml:space="preserve">トップページが正常に表示される</t>
  </si>
  <si>
    <t xml:space="preserve">GET /</t>
  </si>
  <si>
    <r>
      <rPr>
        <sz val="10"/>
        <rFont val="Noto Sans CJK SC"/>
        <family val="2"/>
      </rPr>
      <t xml:space="preserve">ステータス</t>
    </r>
    <r>
      <rPr>
        <sz val="10"/>
        <rFont val="Meiryo UI"/>
        <family val="0"/>
        <charset val="1"/>
      </rPr>
      <t xml:space="preserve">200</t>
    </r>
  </si>
  <si>
    <t xml:space="preserve">src/tests/Feature/ExampleTest.php</t>
  </si>
  <si>
    <t xml:space="preserve">トップページには公開中の店舗だけが名前順に表示される</t>
  </si>
  <si>
    <r>
      <rPr>
        <sz val="10"/>
        <rFont val="Noto Sans CJK SC"/>
        <family val="2"/>
      </rPr>
      <t xml:space="preserve">画面コンポーネントと表示データ、ステータス</t>
    </r>
    <r>
      <rPr>
        <sz val="10"/>
        <rFont val="Meiryo UI"/>
        <family val="0"/>
        <charset val="1"/>
      </rPr>
      <t xml:space="preserve">200</t>
    </r>
  </si>
  <si>
    <t xml:space="preserve">src/tests/Feature/StorefrontTest.php</t>
  </si>
  <si>
    <t xml:space="preserve">店舗ページには公開中の商品だけが並び順どおりに表示される</t>
  </si>
  <si>
    <t xml:space="preserve">GET /shops/{shop}</t>
  </si>
  <si>
    <t xml:space="preserve">店舗ページで商品名を検索できる</t>
  </si>
  <si>
    <t xml:space="preserve">店舗ページに注文完了などのお知らせが表示される</t>
  </si>
  <si>
    <t xml:space="preserve">画面コンポーネントと表示データ</t>
  </si>
  <si>
    <r>
      <rPr>
        <sz val="10"/>
        <rFont val="Noto Sans CJK SC"/>
        <family val="2"/>
      </rPr>
      <t xml:space="preserve">非公開の店舗ページは</t>
    </r>
    <r>
      <rPr>
        <sz val="10"/>
        <rFont val="Meiryo UI"/>
        <family val="0"/>
        <charset val="1"/>
      </rPr>
      <t xml:space="preserve">404</t>
    </r>
    <r>
      <rPr>
        <sz val="10"/>
        <rFont val="Noto Sans CJK SC"/>
        <family val="2"/>
      </rPr>
      <t xml:space="preserve">になる</t>
    </r>
  </si>
  <si>
    <t xml:space="preserve">404</t>
  </si>
  <si>
    <t xml:space="preserve">フッターの静的ページが表示される</t>
  </si>
  <si>
    <t xml:space="preserve">GET /pages/{slug}</t>
  </si>
  <si>
    <r>
      <rPr>
        <sz val="10"/>
        <rFont val="Noto Sans CJK SC"/>
        <family val="2"/>
      </rPr>
      <t xml:space="preserve">存在しない静的ページは</t>
    </r>
    <r>
      <rPr>
        <sz val="10"/>
        <rFont val="Meiryo UI"/>
        <family val="0"/>
        <charset val="1"/>
      </rPr>
      <t xml:space="preserve">404</t>
    </r>
    <r>
      <rPr>
        <sz val="10"/>
        <rFont val="Noto Sans CJK SC"/>
        <family val="2"/>
      </rPr>
      <t xml:space="preserve">になる</t>
    </r>
  </si>
  <si>
    <t xml:space="preserve">GET /pages/unknown</t>
  </si>
  <si>
    <t xml:space="preserve">表示言語を切り替えるとクッキーに保存される</t>
  </si>
  <si>
    <t xml:space="preserve">POST /locale</t>
  </si>
  <si>
    <r>
      <rPr>
        <sz val="10"/>
        <rFont val="Noto Sans CJK SC"/>
        <family val="2"/>
      </rPr>
      <t xml:space="preserve">リダイレクト先、</t>
    </r>
    <r>
      <rPr>
        <sz val="10"/>
        <rFont val="Meiryo UI"/>
        <family val="0"/>
        <charset val="1"/>
      </rPr>
      <t xml:space="preserve">Cookie</t>
    </r>
  </si>
  <si>
    <t xml:space="preserve">未対応の言語には切り替えられない</t>
  </si>
  <si>
    <r>
      <rPr>
        <sz val="10"/>
        <rFont val="Noto Sans CJK SC"/>
        <family val="2"/>
      </rPr>
      <t xml:space="preserve">入力エラー、</t>
    </r>
    <r>
      <rPr>
        <sz val="10"/>
        <rFont val="Meiryo UI"/>
        <family val="0"/>
        <charset val="1"/>
      </rPr>
      <t xml:space="preserve">Cookie</t>
    </r>
  </si>
  <si>
    <t xml:space="preserve">商品ページ</t>
  </si>
  <si>
    <t xml:space="preserve">公開中の商品ページが表示される</t>
  </si>
  <si>
    <t xml:space="preserve">GET /shops/{shop}/products/{product}</t>
  </si>
  <si>
    <t xml:space="preserve">src/tests/Feature/ProductPageTest.php</t>
  </si>
  <si>
    <t xml:space="preserve">在庫切れの商品ページも表示される</t>
  </si>
  <si>
    <r>
      <rPr>
        <sz val="10"/>
        <rFont val="Noto Sans CJK SC"/>
        <family val="2"/>
      </rPr>
      <t xml:space="preserve">画面コンポーネントと表示データ、ステータス</t>
    </r>
    <r>
      <rPr>
        <sz val="10"/>
        <rFont val="Meiryo UI"/>
        <family val="0"/>
        <charset val="1"/>
      </rPr>
      <t xml:space="preserve">200</t>
    </r>
    <r>
      <rPr>
        <sz val="10"/>
        <rFont val="Noto Sans CJK SC"/>
        <family val="2"/>
      </rPr>
      <t xml:space="preserve">、在庫数</t>
    </r>
  </si>
  <si>
    <r>
      <rPr>
        <sz val="10"/>
        <rFont val="Noto Sans CJK SC"/>
        <family val="2"/>
      </rPr>
      <t xml:space="preserve">非公開の商品ページは</t>
    </r>
    <r>
      <rPr>
        <sz val="10"/>
        <rFont val="Meiryo UI"/>
        <family val="0"/>
        <charset val="1"/>
      </rPr>
      <t xml:space="preserve">404</t>
    </r>
    <r>
      <rPr>
        <sz val="10"/>
        <rFont val="Noto Sans CJK SC"/>
        <family val="2"/>
      </rPr>
      <t xml:space="preserve">になる</t>
    </r>
  </si>
  <si>
    <r>
      <rPr>
        <sz val="10"/>
        <rFont val="Noto Sans CJK SC"/>
        <family val="2"/>
      </rPr>
      <t xml:space="preserve">他店舗の</t>
    </r>
    <r>
      <rPr>
        <sz val="10"/>
        <rFont val="Meiryo UI"/>
        <family val="0"/>
        <charset val="1"/>
      </rPr>
      <t xml:space="preserve">URL</t>
    </r>
    <r>
      <rPr>
        <sz val="10"/>
        <rFont val="Noto Sans CJK SC"/>
        <family val="2"/>
      </rPr>
      <t xml:space="preserve">では商品が表示されない</t>
    </r>
  </si>
  <si>
    <r>
      <rPr>
        <sz val="10"/>
        <rFont val="Noto Sans CJK SC"/>
        <family val="2"/>
      </rPr>
      <t xml:space="preserve">存在しない商品は</t>
    </r>
    <r>
      <rPr>
        <sz val="10"/>
        <rFont val="Meiryo UI"/>
        <family val="0"/>
        <charset val="1"/>
      </rPr>
      <t xml:space="preserve">404</t>
    </r>
    <r>
      <rPr>
        <sz val="10"/>
        <rFont val="Noto Sans CJK SC"/>
        <family val="2"/>
      </rPr>
      <t xml:space="preserve">になる</t>
    </r>
  </si>
  <si>
    <t xml:space="preserve">GET /shops/{$shop-&gt;slug}/products/999999</t>
  </si>
  <si>
    <t xml:space="preserve">カート</t>
  </si>
  <si>
    <t xml:space="preserve">空のカートが表示される</t>
  </si>
  <si>
    <t xml:space="preserve">GET /shops/{shop}/cart</t>
  </si>
  <si>
    <t xml:space="preserve">src/tests/Feature/CartTest.php</t>
  </si>
  <si>
    <t xml:space="preserve">商品をカートに追加できる</t>
  </si>
  <si>
    <t xml:space="preserve">POST /shops/{shop}/cart/{product}</t>
  </si>
  <si>
    <t xml:space="preserve">リダイレクト先、カート（セッション）の内容</t>
  </si>
  <si>
    <t xml:space="preserve">カートに商品ごとの小計と合計が表示される</t>
  </si>
  <si>
    <t xml:space="preserve">同じ商品を再度追加すると数量が加算される</t>
  </si>
  <si>
    <t xml:space="preserve">カート（セッション）の内容</t>
  </si>
  <si>
    <t xml:space="preserve">加算後の数量は在庫数を上限とする</t>
  </si>
  <si>
    <t xml:space="preserve">カート（セッション）の内容、在庫数</t>
  </si>
  <si>
    <t xml:space="preserve">在庫数を超える数量は拒否される</t>
  </si>
  <si>
    <t xml:space="preserve">入力エラー、カート（セッション）の内容、在庫数</t>
  </si>
  <si>
    <r>
      <rPr>
        <sz val="10"/>
        <rFont val="Noto Sans CJK SC"/>
        <family val="2"/>
      </rPr>
      <t xml:space="preserve">数量が</t>
    </r>
    <r>
      <rPr>
        <sz val="10"/>
        <rFont val="Meiryo UI"/>
        <family val="0"/>
        <charset val="1"/>
      </rPr>
      <t xml:space="preserve">0</t>
    </r>
    <r>
      <rPr>
        <sz val="10"/>
        <rFont val="Noto Sans CJK SC"/>
        <family val="2"/>
      </rPr>
      <t xml:space="preserve">または未入力の場合は拒否される</t>
    </r>
  </si>
  <si>
    <t xml:space="preserve">入力エラー</t>
  </si>
  <si>
    <t xml:space="preserve">在庫切れの商品は追加できない</t>
  </si>
  <si>
    <t xml:space="preserve">非公開の商品は追加できない</t>
  </si>
  <si>
    <t xml:space="preserve">他店舗の商品は追加できない</t>
  </si>
  <si>
    <t xml:space="preserve">カートは店舗ごとに分かれている</t>
  </si>
  <si>
    <t xml:space="preserve">カートから商品を削除できる</t>
  </si>
  <si>
    <t xml:space="preserve">DELETE /shops/{shop}/cart/{product}</t>
  </si>
  <si>
    <t xml:space="preserve">注文</t>
  </si>
  <si>
    <t xml:space="preserve">注文すると合計金額が計算され在庫が減りカートが空になる</t>
  </si>
  <si>
    <t xml:space="preserve">POST /shops/{shop}/orders</t>
  </si>
  <si>
    <t xml:space="preserve">リダイレクト先、カート（セッション）の内容、在庫数</t>
  </si>
  <si>
    <t xml:space="preserve">src/tests/Feature/Orders/CustomerOrderTest.php</t>
  </si>
  <si>
    <t xml:space="preserve">カートが空の場合は注文できない</t>
  </si>
  <si>
    <t xml:space="preserve">リダイレクト先、エラーメッセージ</t>
  </si>
  <si>
    <t xml:space="preserve">在庫が足りない商品があると注文できず在庫も変わらない</t>
  </si>
  <si>
    <t xml:space="preserve">リダイレクト先、エラーメッセージ、在庫数</t>
  </si>
  <si>
    <t xml:space="preserve">カートに入れた後で非公開になった商品は注文できない</t>
  </si>
  <si>
    <t xml:space="preserve">カートに入れた後で削除された商品は注文できない</t>
  </si>
  <si>
    <t xml:space="preserve">初期ステータスが設定されていないと注文は作成されない</t>
  </si>
  <si>
    <t xml:space="preserve">在庫数、例外</t>
  </si>
  <si>
    <t xml:space="preserve">未ログインでは注文できない</t>
  </si>
  <si>
    <t xml:space="preserve">リダイレクト先</t>
  </si>
  <si>
    <t xml:space="preserve">自分の注文詳細を表示できる</t>
  </si>
  <si>
    <t xml:space="preserve">GET /shops/{shop}/orders/{order}
POST /shops/{shop}/orders</t>
  </si>
  <si>
    <t xml:space="preserve">他人の注文詳細は表示できない</t>
  </si>
  <si>
    <t xml:space="preserve">注文時に顧客へ確認メール、店舗管理者へ通知メールが送られる</t>
  </si>
  <si>
    <t xml:space="preserve">リダイレクト先、メール送信</t>
  </si>
  <si>
    <t xml:space="preserve">src/tests/Feature/Orders/OrderCheckoutMailTest.php</t>
  </si>
  <si>
    <t xml:space="preserve">お問い合わせ</t>
  </si>
  <si>
    <t xml:space="preserve">お問い合わせフォームが表示される</t>
  </si>
  <si>
    <t xml:space="preserve">GET /contact</t>
  </si>
  <si>
    <t xml:space="preserve">src/tests/Feature/ContactTest.php</t>
  </si>
  <si>
    <t xml:space="preserve">お問い合わせはスーパー管理者だけに送信される</t>
  </si>
  <si>
    <t xml:space="preserve">POST /contact</t>
  </si>
  <si>
    <t xml:space="preserve">送信後に完了メッセージが表示される</t>
  </si>
  <si>
    <t xml:space="preserve">スーパー管理者がいない場合はメールを送らずに完了する</t>
  </si>
  <si>
    <t xml:space="preserve">必須項目が未入力の場合はエラーになる</t>
  </si>
  <si>
    <t xml:space="preserve">入力エラー、メール送信</t>
  </si>
  <si>
    <t xml:space="preserve">不正な値は拒否される</t>
  </si>
  <si>
    <t xml:space="preserve">すべてのお問い合わせ種別を受け付ける</t>
  </si>
  <si>
    <t xml:space="preserve">戻り値・関連データの値</t>
  </si>
  <si>
    <t xml:space="preserve">連続送信は回数制限される</t>
  </si>
  <si>
    <r>
      <rPr>
        <sz val="10"/>
        <rFont val="Noto Sans CJK SC"/>
        <family val="2"/>
      </rPr>
      <t xml:space="preserve">リダイレクト先、</t>
    </r>
    <r>
      <rPr>
        <sz val="10"/>
        <rFont val="Meiryo UI"/>
        <family val="0"/>
        <charset val="1"/>
      </rPr>
      <t xml:space="preserve">429</t>
    </r>
    <r>
      <rPr>
        <sz val="10"/>
        <rFont val="Noto Sans CJK SC"/>
        <family val="2"/>
      </rPr>
      <t xml:space="preserve">（回数制限）</t>
    </r>
  </si>
  <si>
    <t xml:space="preserve">会員</t>
  </si>
  <si>
    <t xml:space="preserve">会員登録</t>
  </si>
  <si>
    <t xml:space="preserve">会員登録画面が表示される</t>
  </si>
  <si>
    <t xml:space="preserve">GET /register</t>
  </si>
  <si>
    <t xml:space="preserve">src/tests/Feature/Auth/RegistrationTest.php</t>
  </si>
  <si>
    <t xml:space="preserve">新規ユーザーが会員登録できる</t>
  </si>
  <si>
    <t xml:space="preserve">POST /register</t>
  </si>
  <si>
    <t xml:space="preserve">リダイレクト先、ログイン状態</t>
  </si>
  <si>
    <t xml:space="preserve">ログイン・ログアウト</t>
  </si>
  <si>
    <t xml:space="preserve">ログイン画面が表示される</t>
  </si>
  <si>
    <t xml:space="preserve">GET /login</t>
  </si>
  <si>
    <t xml:space="preserve">src/tests/Feature/Auth/AuthenticationTest.php</t>
  </si>
  <si>
    <t xml:space="preserve">ログイン画面からログインできる</t>
  </si>
  <si>
    <t xml:space="preserve">POST /login</t>
  </si>
  <si>
    <t xml:space="preserve">誤ったパスワードではログインできない</t>
  </si>
  <si>
    <t xml:space="preserve">ログイン状態</t>
  </si>
  <si>
    <t xml:space="preserve">ログアウトできる</t>
  </si>
  <si>
    <t xml:space="preserve">POST /logout</t>
  </si>
  <si>
    <t xml:space="preserve">無効化されたアカウントでは正しいパスワードでもログインできない</t>
  </si>
  <si>
    <t xml:space="preserve">入力エラー、ログイン状態</t>
  </si>
  <si>
    <r>
      <rPr>
        <sz val="10"/>
        <rFont val="Noto Sans CJK SC"/>
        <family val="2"/>
      </rPr>
      <t xml:space="preserve">ログインに</t>
    </r>
    <r>
      <rPr>
        <sz val="10"/>
        <rFont val="Meiryo UI"/>
        <family val="0"/>
        <charset val="1"/>
      </rPr>
      <t xml:space="preserve">5</t>
    </r>
    <r>
      <rPr>
        <sz val="10"/>
        <rFont val="Noto Sans CJK SC"/>
        <family val="2"/>
      </rPr>
      <t xml:space="preserve">回失敗すると一時的にログインできなくなる</t>
    </r>
  </si>
  <si>
    <t xml:space="preserve">入力エラー、イベント発生、ログイン状態</t>
  </si>
  <si>
    <t xml:space="preserve">メールアドレス認証</t>
  </si>
  <si>
    <t xml:space="preserve">メール認証画面が表示される</t>
  </si>
  <si>
    <t xml:space="preserve">GET /verify-email</t>
  </si>
  <si>
    <t xml:space="preserve">src/tests/Feature/Auth/EmailVerificationTest.php</t>
  </si>
  <si>
    <t xml:space="preserve">メールアドレスを認証できる</t>
  </si>
  <si>
    <r>
      <rPr>
        <sz val="10"/>
        <rFont val="Meiryo UI"/>
        <family val="0"/>
        <charset val="1"/>
      </rPr>
      <t xml:space="preserve">GET (URL</t>
    </r>
    <r>
      <rPr>
        <sz val="10"/>
        <rFont val="Noto Sans CJK SC"/>
        <family val="2"/>
      </rPr>
      <t xml:space="preserve">変数</t>
    </r>
    <r>
      <rPr>
        <sz val="10"/>
        <rFont val="Meiryo UI"/>
        <family val="0"/>
        <charset val="1"/>
      </rPr>
      <t xml:space="preserve">)</t>
    </r>
  </si>
  <si>
    <t xml:space="preserve">リダイレクト先、イベント発生</t>
  </si>
  <si>
    <t xml:space="preserve">不正なハッシュではメールアドレスが認証されない</t>
  </si>
  <si>
    <t xml:space="preserve">認証済みユーザーがメール認証画面を開くとダッシュボードに移動する</t>
  </si>
  <si>
    <t xml:space="preserve">認証済みのメールアドレスを再度認証しても認証イベントは発生しない</t>
  </si>
  <si>
    <t xml:space="preserve">認証メールを再送できる</t>
  </si>
  <si>
    <t xml:space="preserve">POST /email/verification-notification</t>
  </si>
  <si>
    <t xml:space="preserve">リダイレクト先、完了メッセージ、通知メール送信</t>
  </si>
  <si>
    <t xml:space="preserve">認証済みユーザーには認証メールを再送しない</t>
  </si>
  <si>
    <t xml:space="preserve">リダイレクト先、通知メール送信</t>
  </si>
  <si>
    <t xml:space="preserve">パスワード確認</t>
  </si>
  <si>
    <t xml:space="preserve">パスワード確認画面が表示される</t>
  </si>
  <si>
    <t xml:space="preserve">GET /confirm-password</t>
  </si>
  <si>
    <t xml:space="preserve">src/tests/Feature/Auth/PasswordConfirmationTest.php</t>
  </si>
  <si>
    <t xml:space="preserve">パスワードを確認できる</t>
  </si>
  <si>
    <t xml:space="preserve">POST /confirm-password</t>
  </si>
  <si>
    <t xml:space="preserve">誤ったパスワードでは確認されない</t>
  </si>
  <si>
    <t xml:space="preserve">パスワード再設定</t>
  </si>
  <si>
    <t xml:space="preserve">パスワード再設定リンクの申請画面が表示される</t>
  </si>
  <si>
    <t xml:space="preserve">GET /forgot-password</t>
  </si>
  <si>
    <t xml:space="preserve">src/tests/Feature/Auth/PasswordResetTest.php</t>
  </si>
  <si>
    <t xml:space="preserve">パスワード再設定リンクを申請できる</t>
  </si>
  <si>
    <t xml:space="preserve">POST /forgot-password</t>
  </si>
  <si>
    <t xml:space="preserve">通知メール送信</t>
  </si>
  <si>
    <t xml:space="preserve">パスワード再設定画面が表示される</t>
  </si>
  <si>
    <t xml:space="preserve">POST /forgot-password
GET /reset-password/</t>
  </si>
  <si>
    <r>
      <rPr>
        <sz val="10"/>
        <rFont val="Noto Sans CJK SC"/>
        <family val="2"/>
      </rPr>
      <t xml:space="preserve">ステータス</t>
    </r>
    <r>
      <rPr>
        <sz val="10"/>
        <rFont val="Meiryo UI"/>
        <family val="0"/>
        <charset val="1"/>
      </rPr>
      <t xml:space="preserve">200</t>
    </r>
    <r>
      <rPr>
        <sz val="10"/>
        <rFont val="Noto Sans CJK SC"/>
        <family val="2"/>
      </rPr>
      <t xml:space="preserve">、通知メール送信</t>
    </r>
  </si>
  <si>
    <t xml:space="preserve">有効なトークンでパスワードを再設定できる</t>
  </si>
  <si>
    <t xml:space="preserve">POST /forgot-password
POST /reset-password</t>
  </si>
  <si>
    <t xml:space="preserve">登録されていないメールアドレスでは再設定リンクを申請できない</t>
  </si>
  <si>
    <t xml:space="preserve">入力エラー、通知メール送信</t>
  </si>
  <si>
    <t xml:space="preserve">無効なトークンではパスワードを再設定できない</t>
  </si>
  <si>
    <t xml:space="preserve">POST /reset-password</t>
  </si>
  <si>
    <t xml:space="preserve">入力エラー、パスワード</t>
  </si>
  <si>
    <t xml:space="preserve">パスワード変更</t>
  </si>
  <si>
    <t xml:space="preserve">パスワードを変更できる</t>
  </si>
  <si>
    <t xml:space="preserve">PUT /password</t>
  </si>
  <si>
    <t xml:space="preserve">リダイレクト先、パスワード</t>
  </si>
  <si>
    <t xml:space="preserve">src/tests/Feature/Auth/PasswordUpdateTest.php</t>
  </si>
  <si>
    <t xml:space="preserve">パスワード変更には現在の正しいパスワードが必要</t>
  </si>
  <si>
    <t xml:space="preserve">リダイレクト先、入力エラー</t>
  </si>
  <si>
    <t xml:space="preserve">プロフィール・会員証</t>
  </si>
  <si>
    <t xml:space="preserve">プロフィール画面が表示される</t>
  </si>
  <si>
    <t xml:space="preserve">GET /profile</t>
  </si>
  <si>
    <t xml:space="preserve">src/tests/Feature/ProfileTest.php</t>
  </si>
  <si>
    <t xml:space="preserve">プロフィール情報を更新できる</t>
  </si>
  <si>
    <t xml:space="preserve">PATCH /profile</t>
  </si>
  <si>
    <t xml:space="preserve">メールアドレスを変えなければ認証状態は変わらない</t>
  </si>
  <si>
    <t xml:space="preserve">ユーザーは自分のアカウントを削除できる</t>
  </si>
  <si>
    <t xml:space="preserve">DELETE /profile</t>
  </si>
  <si>
    <t xml:space="preserve">アカウント削除には正しいパスワードが必要</t>
  </si>
  <si>
    <t xml:space="preserve">会員証の二次元コードが画像として表示される</t>
  </si>
  <si>
    <t xml:space="preserve">GET /profile/member-qr</t>
  </si>
  <si>
    <r>
      <rPr>
        <sz val="10"/>
        <rFont val="Noto Sans CJK SC"/>
        <family val="2"/>
      </rPr>
      <t xml:space="preserve">ステータス</t>
    </r>
    <r>
      <rPr>
        <sz val="10"/>
        <rFont val="Meiryo UI"/>
        <family val="0"/>
        <charset val="1"/>
      </rPr>
      <t xml:space="preserve">200</t>
    </r>
    <r>
      <rPr>
        <sz val="10"/>
        <rFont val="Noto Sans CJK SC"/>
        <family val="2"/>
      </rPr>
      <t xml:space="preserve">、レスポンスヘッダー</t>
    </r>
  </si>
  <si>
    <t xml:space="preserve">管理画面</t>
  </si>
  <si>
    <r>
      <rPr>
        <sz val="10"/>
        <rFont val="Noto Sans CJK SC"/>
        <family val="2"/>
      </rPr>
      <t xml:space="preserve">ログイン・</t>
    </r>
    <r>
      <rPr>
        <sz val="10"/>
        <rFont val="Meiryo UI"/>
        <family val="0"/>
        <charset val="1"/>
      </rPr>
      <t xml:space="preserve">2</t>
    </r>
    <r>
      <rPr>
        <sz val="10"/>
        <rFont val="Noto Sans CJK SC"/>
        <family val="2"/>
      </rPr>
      <t xml:space="preserve">段階認証</t>
    </r>
  </si>
  <si>
    <t xml:space="preserve">管理者ログイン画面が表示される</t>
  </si>
  <si>
    <t xml:space="preserve">GET /admin/login</t>
  </si>
  <si>
    <t xml:space="preserve">src/tests/Feature/Admin/AdminAuthTest.php</t>
  </si>
  <si>
    <t xml:space="preserve">正しいパスワードで確認コードがメール送信される</t>
  </si>
  <si>
    <t xml:space="preserve">POST /admin/login</t>
  </si>
  <si>
    <t xml:space="preserve">誤ったパスワードではログインできずメールも送られない</t>
  </si>
  <si>
    <t xml:space="preserve">入力エラー、メール送信、ログイン状態</t>
  </si>
  <si>
    <t xml:space="preserve">存在しないメールアドレスではログインできない</t>
  </si>
  <si>
    <t xml:space="preserve">正しい確認コードでログインできる</t>
  </si>
  <si>
    <t xml:space="preserve">POST /admin/login
GET /admin/verify
POST /admin/verify</t>
  </si>
  <si>
    <r>
      <rPr>
        <sz val="10"/>
        <rFont val="Noto Sans CJK SC"/>
        <family val="2"/>
      </rPr>
      <t xml:space="preserve">画面コンポーネントと表示データ、ステータス</t>
    </r>
    <r>
      <rPr>
        <sz val="10"/>
        <rFont val="Meiryo UI"/>
        <family val="0"/>
        <charset val="1"/>
      </rPr>
      <t xml:space="preserve">200</t>
    </r>
    <r>
      <rPr>
        <sz val="10"/>
        <rFont val="Noto Sans CJK SC"/>
        <family val="2"/>
      </rPr>
      <t xml:space="preserve">、リダイレクト先、ログイン状態</t>
    </r>
  </si>
  <si>
    <t xml:space="preserve">誤った確認コードではログインできない</t>
  </si>
  <si>
    <t xml:space="preserve">POST /admin/login
POST /admin/verify</t>
  </si>
  <si>
    <t xml:space="preserve">有効期限切れの確認コードではログインできない</t>
  </si>
  <si>
    <t xml:space="preserve">使用済みの確認コードは再利用できない</t>
  </si>
  <si>
    <t xml:space="preserve">POST /admin/login
POST /admin/verify
POST /admin/logout</t>
  </si>
  <si>
    <t xml:space="preserve">確認コードが未入力の場合はエラーになる</t>
  </si>
  <si>
    <t xml:space="preserve">パスワード認証前は確認コード画面に進めない</t>
  </si>
  <si>
    <t xml:space="preserve">GET /admin/verify
POST /admin/verify
POST /admin/verify/resend</t>
  </si>
  <si>
    <t xml:space="preserve">削除された管理者のコード再送はログイン画面に戻される</t>
  </si>
  <si>
    <t xml:space="preserve">POST /admin/verify/resend</t>
  </si>
  <si>
    <t xml:space="preserve">確認コードを再送すると新しいコードが届き古いコードは無効になる</t>
  </si>
  <si>
    <t xml:space="preserve">POST /admin/login
POST /admin/verify/resend
POST /admin/verify</t>
  </si>
  <si>
    <t xml:space="preserve">リダイレクト先、入力エラー、完了メッセージ、メール送信</t>
  </si>
  <si>
    <t xml:space="preserve">POST /admin/logout</t>
  </si>
  <si>
    <t xml:space="preserve">未ログインでは管理画面に入れない</t>
  </si>
  <si>
    <t xml:space="preserve">GET /admin/dashboard</t>
  </si>
  <si>
    <t xml:space="preserve">ログイン済みでログイン画面を開くとダッシュボードに移動する</t>
  </si>
  <si>
    <t xml:space="preserve">ダッシュボードが表示される</t>
  </si>
  <si>
    <t xml:space="preserve">権限（店舗ごとのアクセス制御）</t>
  </si>
  <si>
    <t xml:space="preserve">店舗管理者は他店舗の商品一覧を見られない</t>
  </si>
  <si>
    <t xml:space="preserve">GET /admin/{shop}/products</t>
  </si>
  <si>
    <t xml:space="preserve">403</t>
  </si>
  <si>
    <t xml:space="preserve">src/tests/Feature/Admin/ShopScopedAccessTest.php</t>
  </si>
  <si>
    <t xml:space="preserve">店舗管理者は他店舗の商品を編集できない</t>
  </si>
  <si>
    <t xml:space="preserve">GET /admin/{shop}/products/{product}/edit</t>
  </si>
  <si>
    <t xml:space="preserve">店舗管理者は他店舗の商品を削除できない</t>
  </si>
  <si>
    <t xml:space="preserve">DELETE /admin/{shop}/products/{product}</t>
  </si>
  <si>
    <r>
      <rPr>
        <sz val="10"/>
        <rFont val="Meiryo UI"/>
        <family val="0"/>
        <charset val="1"/>
      </rPr>
      <t xml:space="preserve">403</t>
    </r>
    <r>
      <rPr>
        <sz val="10"/>
        <rFont val="Noto Sans CJK SC"/>
        <family val="2"/>
      </rPr>
      <t xml:space="preserve">、</t>
    </r>
    <r>
      <rPr>
        <sz val="10"/>
        <rFont val="Meiryo UI"/>
        <family val="0"/>
        <charset val="1"/>
      </rPr>
      <t xml:space="preserve">DB</t>
    </r>
    <r>
      <rPr>
        <sz val="10"/>
        <rFont val="Noto Sans CJK SC"/>
        <family val="2"/>
      </rPr>
      <t xml:space="preserve">のレコード</t>
    </r>
  </si>
  <si>
    <t xml:space="preserve">店舗管理者は他店舗の注文を見られない</t>
  </si>
  <si>
    <t xml:space="preserve">GET /admin/{shop}/orders/{order}</t>
  </si>
  <si>
    <t xml:space="preserve">店舗管理者は他店舗の注文ステータスを変更できない</t>
  </si>
  <si>
    <t xml:space="preserve">PATCH /admin/{shop}/orders/{order}/status</t>
  </si>
  <si>
    <t xml:space="preserve">店舗管理者は自店舗を管理できる</t>
  </si>
  <si>
    <t xml:space="preserve">GET /admin/{shop}/products
GET /admin/{shop}/products/{product}/edit</t>
  </si>
  <si>
    <t xml:space="preserve">店舗管理者はスーパー管理者専用画面にアクセスできない</t>
  </si>
  <si>
    <t xml:space="preserve">GET /admin/products
GET /admin/orders
GET /admin/users
GET /admin/shops</t>
  </si>
  <si>
    <t xml:space="preserve">スーパー管理者は全店舗と全体画面にアクセスできる</t>
  </si>
  <si>
    <t xml:space="preserve">GET /admin/{shop}/products
GET /admin/{shop}/products/{product}/edit
GET /admin/products
GET /admin/shops</t>
  </si>
  <si>
    <t xml:space="preserve">店舗管理者は他店舗ユーザーの有効状態を切り替えられない</t>
  </si>
  <si>
    <t xml:space="preserve">PATCH /admin/{shop}/users/{user}/toggle-active</t>
  </si>
  <si>
    <t xml:space="preserve">商品管理</t>
  </si>
  <si>
    <t xml:space="preserve">店舗の商品一覧が並び順どおりに表示される</t>
  </si>
  <si>
    <t xml:space="preserve">src/tests/Feature/Admin/AdminProductTest.php</t>
  </si>
  <si>
    <t xml:space="preserve">商品登録画面と編集画面が表示される</t>
  </si>
  <si>
    <t xml:space="preserve">GET /admin/{shop}/products/create
GET /admin/{shop}/products/{product}/edit</t>
  </si>
  <si>
    <t xml:space="preserve">商品を登録すると画像が縮小保存され並び順の最後に追加される</t>
  </si>
  <si>
    <r>
      <rPr>
        <sz val="10"/>
        <rFont val="Meiryo UI"/>
        <family val="0"/>
        <charset val="1"/>
      </rPr>
      <t xml:space="preserve">POST /admin/{shop}/products
GET (URL</t>
    </r>
    <r>
      <rPr>
        <sz val="10"/>
        <rFont val="Noto Sans CJK SC"/>
        <family val="2"/>
      </rPr>
      <t xml:space="preserve">変数</t>
    </r>
    <r>
      <rPr>
        <sz val="10"/>
        <rFont val="Meiryo UI"/>
        <family val="0"/>
        <charset val="1"/>
      </rPr>
      <t xml:space="preserve">)</t>
    </r>
  </si>
  <si>
    <t xml:space="preserve">リダイレクト先、在庫数</t>
  </si>
  <si>
    <t xml:space="preserve">商品登録時は画像が必須</t>
  </si>
  <si>
    <t xml:space="preserve">POST /admin/{shop}/products</t>
  </si>
  <si>
    <t xml:space="preserve">入力エラー、在庫数</t>
  </si>
  <si>
    <t xml:space="preserve">商品登録時の入力チェック</t>
  </si>
  <si>
    <t xml:space="preserve">画像を変えずに商品情報を更新できる</t>
  </si>
  <si>
    <t xml:space="preserve">PUT products/test.jpg
PUT /admin/{shop}/products/{product}</t>
  </si>
  <si>
    <t xml:space="preserve">リダイレクト先、画像ファイルの保存・削除、在庫数</t>
  </si>
  <si>
    <t xml:space="preserve">商品を削除すると画像も削除される</t>
  </si>
  <si>
    <t xml:space="preserve">PUT products/test.jpg
DELETE /admin/{shop}/products/{product}</t>
  </si>
  <si>
    <r>
      <rPr>
        <sz val="10"/>
        <rFont val="Noto Sans CJK SC"/>
        <family val="2"/>
      </rPr>
      <t xml:space="preserve">リダイレクト先、画像ファイルの保存・削除、</t>
    </r>
    <r>
      <rPr>
        <sz val="10"/>
        <rFont val="Meiryo UI"/>
        <family val="0"/>
        <charset val="1"/>
      </rPr>
      <t xml:space="preserve">DB</t>
    </r>
    <r>
      <rPr>
        <sz val="10"/>
        <rFont val="Noto Sans CJK SC"/>
        <family val="2"/>
      </rPr>
      <t xml:space="preserve">のレコード</t>
    </r>
  </si>
  <si>
    <t xml:space="preserve">商品の並び順を変更できる</t>
  </si>
  <si>
    <t xml:space="preserve">PATCH /admin/{shop}/products/reorder</t>
  </si>
  <si>
    <t xml:space="preserve">他店舗の商品を含む並び替えは拒否される</t>
  </si>
  <si>
    <t xml:space="preserve">422</t>
  </si>
  <si>
    <t xml:space="preserve">並び替えの入力チェック</t>
  </si>
  <si>
    <t xml:space="preserve">全店舗の商品一覧は新しい順にページ分割して表示される</t>
  </si>
  <si>
    <t xml:space="preserve">GET /admin/products</t>
  </si>
  <si>
    <t xml:space="preserve">全店舗の商品一覧を店舗で絞り込むと並び順どおりの全件が表示される</t>
  </si>
  <si>
    <t xml:space="preserve">商品を別店舗にコピーすると非公開で登録される</t>
  </si>
  <si>
    <t xml:space="preserve">POST /admin/products/{product}/copy</t>
  </si>
  <si>
    <t xml:space="preserve">リダイレクト先、完了メッセージ</t>
  </si>
  <si>
    <t xml:space="preserve">存在しない店舗へのコピーはエラーになる</t>
  </si>
  <si>
    <t xml:space="preserve">コピーした商品の画像を差し替えても元商品の画像は残る</t>
  </si>
  <si>
    <t xml:space="preserve">POST /admin/{shop}/products/{product}</t>
  </si>
  <si>
    <t xml:space="preserve">src/tests/Feature/Admin/ProductImageSharingTest.php</t>
  </si>
  <si>
    <t xml:space="preserve">コピーした商品を削除しても元商品の画像は残る</t>
  </si>
  <si>
    <t xml:space="preserve">リダイレクト先、画像ファイルの保存・削除</t>
  </si>
  <si>
    <t xml:space="preserve">画像を使う最後の商品を削除すると画像も削除される</t>
  </si>
  <si>
    <t xml:space="preserve">注文管理</t>
  </si>
  <si>
    <t xml:space="preserve">店舗の注文一覧にはキャンセル済みの注文が表示されない</t>
  </si>
  <si>
    <t xml:space="preserve">GET /admin/{shop}/orders</t>
  </si>
  <si>
    <t xml:space="preserve">src/tests/Feature/Admin/AdminOrderTest.php</t>
  </si>
  <si>
    <t xml:space="preserve">店舗の注文詳細が表示される</t>
  </si>
  <si>
    <t xml:space="preserve">注文を受け渡し済みに変更しても在庫は変わらない</t>
  </si>
  <si>
    <t xml:space="preserve">リダイレクト先、完了メッセージ、在庫数</t>
  </si>
  <si>
    <t xml:space="preserve">キャンセル済みの注文は再度変更できず在庫も二重に戻らない</t>
  </si>
  <si>
    <r>
      <rPr>
        <sz val="10"/>
        <rFont val="Meiryo UI"/>
        <family val="0"/>
        <charset val="1"/>
      </rPr>
      <t xml:space="preserve">422</t>
    </r>
    <r>
      <rPr>
        <sz val="10"/>
        <rFont val="Noto Sans CJK SC"/>
        <family val="2"/>
      </rPr>
      <t xml:space="preserve">、在庫数</t>
    </r>
  </si>
  <si>
    <t xml:space="preserve">存在しないステータスへの変更はエラーになる</t>
  </si>
  <si>
    <t xml:space="preserve">削除済み商品を含む注文もキャンセルできる</t>
  </si>
  <si>
    <t xml:space="preserve">集計画面で商品別とユーザー別の合計が表示される</t>
  </si>
  <si>
    <t xml:space="preserve">GET /admin/{shop}/orders/summary</t>
  </si>
  <si>
    <t xml:space="preserve">集計画面は期間で絞り込める</t>
  </si>
  <si>
    <t xml:space="preserve">集計画面で終了日が開始日より前だとエラーになる</t>
  </si>
  <si>
    <t xml:space="preserve">全店舗の注文一覧が表示され店舗で絞り込める</t>
  </si>
  <si>
    <t xml:space="preserve">GET /admin/orders</t>
  </si>
  <si>
    <t xml:space="preserve">全店舗ビューで注文詳細の表示とステータス変更ができる</t>
  </si>
  <si>
    <t xml:space="preserve">GET /admin/orders/{order}
PATCH /admin/orders/{order}/status</t>
  </si>
  <si>
    <r>
      <rPr>
        <sz val="10"/>
        <rFont val="Noto Sans CJK SC"/>
        <family val="2"/>
      </rPr>
      <t xml:space="preserve">画面コンポーネントと表示データ、ステータス</t>
    </r>
    <r>
      <rPr>
        <sz val="10"/>
        <rFont val="Meiryo UI"/>
        <family val="0"/>
        <charset val="1"/>
      </rPr>
      <t xml:space="preserve">200</t>
    </r>
    <r>
      <rPr>
        <sz val="10"/>
        <rFont val="Noto Sans CJK SC"/>
        <family val="2"/>
      </rPr>
      <t xml:space="preserve">、リダイレクト先、完了メッセージ、在庫数</t>
    </r>
  </si>
  <si>
    <t xml:space="preserve">店舗管理者は全店舗の注文画面を使えない</t>
  </si>
  <si>
    <t xml:space="preserve">GET /admin/orders
GET /admin/orders/{order}
PATCH /admin/orders/{order}/status</t>
  </si>
  <si>
    <t xml:space="preserve">注文ステータス</t>
  </si>
  <si>
    <t xml:space="preserve">店舗管理者は注文ステータス管理にアクセスできない</t>
  </si>
  <si>
    <t xml:space="preserve">GET /admin/order-statuses</t>
  </si>
  <si>
    <t xml:space="preserve">src/tests/Feature/Admin/OrderStatusManagementTest.php</t>
  </si>
  <si>
    <t xml:space="preserve">スーパー管理者は遷移先付きの独自ステータスを作成できる</t>
  </si>
  <si>
    <t xml:space="preserve">POST /admin/order-statuses
PUT /admin/order-statuses/{order_status}
PATCH /admin/{shop}/orders/{order}/status</t>
  </si>
  <si>
    <r>
      <rPr>
        <sz val="10"/>
        <rFont val="Noto Sans CJK SC"/>
        <family val="2"/>
      </rPr>
      <t xml:space="preserve">リダイレクト先、</t>
    </r>
    <r>
      <rPr>
        <sz val="10"/>
        <rFont val="Meiryo UI"/>
        <family val="0"/>
        <charset val="1"/>
      </rPr>
      <t xml:space="preserve">DB</t>
    </r>
    <r>
      <rPr>
        <sz val="10"/>
        <rFont val="Noto Sans CJK SC"/>
        <family val="2"/>
      </rPr>
      <t xml:space="preserve">のレコード</t>
    </r>
  </si>
  <si>
    <t xml:space="preserve">設定されていない遷移は拒否される</t>
  </si>
  <si>
    <t xml:space="preserve">キャンセルなど無効扱いのステータスに変更すると在庫が戻る</t>
  </si>
  <si>
    <t xml:space="preserve">ステータスを更新してもキーは変わらない</t>
  </si>
  <si>
    <t xml:space="preserve">PUT /admin/order-statuses/{order_status}</t>
  </si>
  <si>
    <t xml:space="preserve">更新時にキーを変更しようとすると拒否される</t>
  </si>
  <si>
    <t xml:space="preserve">注文で使用中のステータスは削除できない</t>
  </si>
  <si>
    <t xml:space="preserve">DELETE /admin/order-statuses/{order_status}</t>
  </si>
  <si>
    <r>
      <rPr>
        <sz val="10"/>
        <rFont val="Noto Sans CJK SC"/>
        <family val="2"/>
      </rPr>
      <t xml:space="preserve">アプリを経由しなくても参照中のステータスは</t>
    </r>
    <r>
      <rPr>
        <sz val="10"/>
        <rFont val="Meiryo UI"/>
        <family val="0"/>
        <charset val="1"/>
      </rPr>
      <t xml:space="preserve">DB</t>
    </r>
    <r>
      <rPr>
        <sz val="10"/>
        <rFont val="Noto Sans CJK SC"/>
        <family val="2"/>
      </rPr>
      <t xml:space="preserve">が削除を拒否する</t>
    </r>
  </si>
  <si>
    <t xml:space="preserve">（クラス・モデルを直接呼び出し）</t>
  </si>
  <si>
    <t xml:space="preserve">例外</t>
  </si>
  <si>
    <r>
      <rPr>
        <sz val="10"/>
        <rFont val="Noto Sans CJK SC"/>
        <family val="2"/>
      </rPr>
      <t xml:space="preserve">存在しないステータスの注文は</t>
    </r>
    <r>
      <rPr>
        <sz val="10"/>
        <rFont val="Meiryo UI"/>
        <family val="0"/>
        <charset val="1"/>
      </rPr>
      <t xml:space="preserve">DB</t>
    </r>
    <r>
      <rPr>
        <sz val="10"/>
        <rFont val="Noto Sans CJK SC"/>
        <family val="2"/>
      </rPr>
      <t xml:space="preserve">が拒否する</t>
    </r>
  </si>
  <si>
    <t xml:space="preserve">初期ステータスは削除できない</t>
  </si>
  <si>
    <r>
      <rPr>
        <sz val="10"/>
        <rFont val="Noto Sans CJK SC"/>
        <family val="2"/>
      </rPr>
      <t xml:space="preserve">初期ステータスを</t>
    </r>
    <r>
      <rPr>
        <sz val="10"/>
        <rFont val="Meiryo UI"/>
        <family val="0"/>
        <charset val="1"/>
      </rPr>
      <t xml:space="preserve">0</t>
    </r>
    <r>
      <rPr>
        <sz val="10"/>
        <rFont val="Noto Sans CJK SC"/>
        <family val="2"/>
      </rPr>
      <t xml:space="preserve">件にはできない</t>
    </r>
  </si>
  <si>
    <t xml:space="preserve">新規注文は設定された初期ステータスで作成される</t>
  </si>
  <si>
    <t xml:space="preserve">ステータスの一覧・登録・編集画面が表示される</t>
  </si>
  <si>
    <t xml:space="preserve">GET /admin/order-statuses
GET /admin/order-statuses/create
GET /admin/order-statuses/{order_status}/edit</t>
  </si>
  <si>
    <t xml:space="preserve">src/tests/Feature/Admin/OrderStatusSettingsTest.php</t>
  </si>
  <si>
    <t xml:space="preserve">初期ステータスとして登録すると既存の初期ステータスは解除される</t>
  </si>
  <si>
    <t xml:space="preserve">POST /admin/order-statuses</t>
  </si>
  <si>
    <t xml:space="preserve">ステータス登録時の入力チェック</t>
  </si>
  <si>
    <t xml:space="preserve">自分自身を遷移先に設定することはできない</t>
  </si>
  <si>
    <t xml:space="preserve">使われていないステータスは削除できる</t>
  </si>
  <si>
    <r>
      <rPr>
        <sz val="10"/>
        <rFont val="Noto Sans CJK SC"/>
        <family val="2"/>
      </rPr>
      <t xml:space="preserve">リダイレクト先、完了メッセージ、</t>
    </r>
    <r>
      <rPr>
        <sz val="10"/>
        <rFont val="Meiryo UI"/>
        <family val="0"/>
        <charset val="1"/>
      </rPr>
      <t xml:space="preserve">DB</t>
    </r>
    <r>
      <rPr>
        <sz val="10"/>
        <rFont val="Noto Sans CJK SC"/>
        <family val="2"/>
      </rPr>
      <t xml:space="preserve">のレコード</t>
    </r>
  </si>
  <si>
    <t xml:space="preserve">最後のステータスは削除できない</t>
  </si>
  <si>
    <r>
      <rPr>
        <sz val="10"/>
        <rFont val="Noto Sans CJK SC"/>
        <family val="2"/>
      </rPr>
      <t xml:space="preserve">エラーメッセージ、</t>
    </r>
    <r>
      <rPr>
        <sz val="10"/>
        <rFont val="Meiryo UI"/>
        <family val="0"/>
        <charset val="1"/>
      </rPr>
      <t xml:space="preserve">DB</t>
    </r>
    <r>
      <rPr>
        <sz val="10"/>
        <rFont val="Noto Sans CJK SC"/>
        <family val="2"/>
      </rPr>
      <t xml:space="preserve">のレコード</t>
    </r>
  </si>
  <si>
    <t xml:space="preserve">会員管理</t>
  </si>
  <si>
    <t xml:space="preserve">全ユーザー一覧に利用店舗名が表示される</t>
  </si>
  <si>
    <t xml:space="preserve">GET /admin/users</t>
  </si>
  <si>
    <t xml:space="preserve">src/tests/Feature/Admin/AdminUserTest.php</t>
  </si>
  <si>
    <t xml:space="preserve">全ユーザー一覧は店舗で絞り込める</t>
  </si>
  <si>
    <t xml:space="preserve">ユーザー詳細に全店舗の注文が表示される</t>
  </si>
  <si>
    <t xml:space="preserve">GET /admin/users/{user}</t>
  </si>
  <si>
    <t xml:space="preserve">注文のないユーザーを削除できる</t>
  </si>
  <si>
    <t xml:space="preserve">DELETE /admin/users/{user}</t>
  </si>
  <si>
    <t xml:space="preserve">注文履歴のあるユーザーは削除できずメッセージが表示される</t>
  </si>
  <si>
    <t xml:space="preserve">DELETE /admin/users/{user}
GET /admin/users/{user}</t>
  </si>
  <si>
    <r>
      <rPr>
        <sz val="10"/>
        <rFont val="Noto Sans CJK SC"/>
        <family val="2"/>
      </rPr>
      <t xml:space="preserve">画面コンポーネントと表示データ、リダイレクト先、エラーメッセージ、</t>
    </r>
    <r>
      <rPr>
        <sz val="10"/>
        <rFont val="Meiryo UI"/>
        <family val="0"/>
        <charset val="1"/>
      </rPr>
      <t xml:space="preserve">DB</t>
    </r>
    <r>
      <rPr>
        <sz val="10"/>
        <rFont val="Noto Sans CJK SC"/>
        <family val="2"/>
      </rPr>
      <t xml:space="preserve">のレコード</t>
    </r>
  </si>
  <si>
    <t xml:space="preserve">スーパー管理者はユーザーの有効と無効を切り替えられる</t>
  </si>
  <si>
    <t xml:space="preserve">PATCH /admin/users/{user}/toggle-active</t>
  </si>
  <si>
    <t xml:space="preserve">完了メッセージ</t>
  </si>
  <si>
    <t xml:space="preserve">店舗のユーザー一覧には自店舗で注文したユーザーだけが表示される</t>
  </si>
  <si>
    <t xml:space="preserve">GET /admin/{shop}/users</t>
  </si>
  <si>
    <t xml:space="preserve">店舗のユーザー詳細には自店舗の注文だけが表示される</t>
  </si>
  <si>
    <t xml:space="preserve">GET /admin/{shop}/users/{user}</t>
  </si>
  <si>
    <t xml:space="preserve">店舗管理者は自店舗のユーザーの有効と無効を切り替えられる</t>
  </si>
  <si>
    <t xml:space="preserve">店舗管理者は自店舗で注文していないユーザーを切り替えられない</t>
  </si>
  <si>
    <t xml:space="preserve">店舗管理者は全ユーザー管理を使えない</t>
  </si>
  <si>
    <t xml:space="preserve">GET /admin/users
GET /admin/users/{user}
DELETE /admin/users/{user}</t>
  </si>
  <si>
    <t xml:space="preserve">会員の二次元コードを読み取るとその会員の詳細画面に移動する</t>
  </si>
  <si>
    <t xml:space="preserve">GET /admin/{shop}/scan</t>
  </si>
  <si>
    <t xml:space="preserve">一致する会員がいない二次元コードはエラーメッセージを表示する</t>
  </si>
  <si>
    <t xml:space="preserve">トークンなしの読み取りはエラーになる</t>
  </si>
  <si>
    <t xml:space="preserve">店舗管理</t>
  </si>
  <si>
    <t xml:space="preserve">店舗一覧が名前順で表示される</t>
  </si>
  <si>
    <t xml:space="preserve">GET /admin/shops</t>
  </si>
  <si>
    <t xml:space="preserve">src/tests/Feature/Admin/AdminShopTest.php</t>
  </si>
  <si>
    <t xml:space="preserve">店舗の登録画面と編集画面が表示される</t>
  </si>
  <si>
    <t xml:space="preserve">GET /admin/shops/create
GET /admin/shops/{shop}/edit</t>
  </si>
  <si>
    <t xml:space="preserve">ロゴと対応言語を指定して店舗を登録できる</t>
  </si>
  <si>
    <t xml:space="preserve">POST /admin/shops</t>
  </si>
  <si>
    <t xml:space="preserve">対応言語を指定しない場合は日本語と中国語になる</t>
  </si>
  <si>
    <t xml:space="preserve">店舗登録時の入力チェック</t>
  </si>
  <si>
    <t xml:space="preserve">店舗情報と対応言語を更新できる</t>
  </si>
  <si>
    <t xml:space="preserve">PUT /admin/shops/{shop}</t>
  </si>
  <si>
    <t xml:space="preserve">ロゴを差し替えると古いロゴは削除される</t>
  </si>
  <si>
    <t xml:space="preserve">PUT shops/old.png
PUT /admin/shops/{shop}</t>
  </si>
  <si>
    <t xml:space="preserve">ロゴのない店舗にもロゴを追加できる</t>
  </si>
  <si>
    <t xml:space="preserve">紐付くデータのない店舗は削除でき・ロゴも削除される</t>
  </si>
  <si>
    <t xml:space="preserve">PUT shops/logo.png
DELETE /admin/shops/{shop}</t>
  </si>
  <si>
    <t xml:space="preserve">ロゴのない店舗も削除できる</t>
  </si>
  <si>
    <t xml:space="preserve">DELETE /admin/shops/{shop}</t>
  </si>
  <si>
    <t xml:space="preserve">商品のある店舗は削除できない</t>
  </si>
  <si>
    <r>
      <rPr>
        <sz val="10"/>
        <rFont val="Noto Sans CJK SC"/>
        <family val="2"/>
      </rPr>
      <t xml:space="preserve">リダイレクト先、エラーメッセージ、</t>
    </r>
    <r>
      <rPr>
        <sz val="10"/>
        <rFont val="Meiryo UI"/>
        <family val="0"/>
        <charset val="1"/>
      </rPr>
      <t xml:space="preserve">DB</t>
    </r>
    <r>
      <rPr>
        <sz val="10"/>
        <rFont val="Noto Sans CJK SC"/>
        <family val="2"/>
      </rPr>
      <t xml:space="preserve">のレコード</t>
    </r>
  </si>
  <si>
    <t xml:space="preserve">管理者のいる店舗は削除できない</t>
  </si>
  <si>
    <t xml:space="preserve">店舗管理者は店舗管理を使えない</t>
  </si>
  <si>
    <t xml:space="preserve">GET /admin/shops
PUT /admin/shops/{shop}</t>
  </si>
  <si>
    <t xml:space="preserve">管理者アカウント</t>
  </si>
  <si>
    <t xml:space="preserve">管理者の一覧・詳細・登録・編集画面が表示される</t>
  </si>
  <si>
    <t xml:space="preserve">GET /admin/admins
GET /admin/admins/{admin}
GET /admin/admins/create
GET /admin/admins/{admin}/edit</t>
  </si>
  <si>
    <t xml:space="preserve">src/tests/Feature/Admin/AdminAccountTest.php</t>
  </si>
  <si>
    <t xml:space="preserve">店舗管理者を登録できる</t>
  </si>
  <si>
    <t xml:space="preserve">POST /admin/admins</t>
  </si>
  <si>
    <t xml:space="preserve">スーパー管理者を登録すると店舗は紐付かない</t>
  </si>
  <si>
    <t xml:space="preserve">管理者登録時の入力チェック</t>
  </si>
  <si>
    <t xml:space="preserve">パスワード未入力で更新するとパスワードは変わらない</t>
  </si>
  <si>
    <t xml:space="preserve">PUT /admin/admins/{admin}</t>
  </si>
  <si>
    <t xml:space="preserve">パスワードと役割を更新できる</t>
  </si>
  <si>
    <t xml:space="preserve">自分と同じメールアドレスのままなら更新できる</t>
  </si>
  <si>
    <t xml:space="preserve">ほかの管理者を削除できる</t>
  </si>
  <si>
    <t xml:space="preserve">DELETE /admin/admins/{admin}</t>
  </si>
  <si>
    <t xml:space="preserve">自分自身は削除できない</t>
  </si>
  <si>
    <t xml:space="preserve">最後の管理者は削除できない</t>
  </si>
  <si>
    <t xml:space="preserve">スーパー管理者は店舗管理者として代理ログインし元に戻れる</t>
  </si>
  <si>
    <t xml:space="preserve">POST /admin/admins/{admin}/impersonate
POST /admin/stop-impersonating</t>
  </si>
  <si>
    <t xml:space="preserve">スーパー管理者への代理ログインはできない</t>
  </si>
  <si>
    <t xml:space="preserve">POST /admin/admins/{admin}/impersonate</t>
  </si>
  <si>
    <r>
      <rPr>
        <sz val="10"/>
        <rFont val="Meiryo UI"/>
        <family val="0"/>
        <charset val="1"/>
      </rPr>
      <t xml:space="preserve">403</t>
    </r>
    <r>
      <rPr>
        <sz val="10"/>
        <rFont val="Noto Sans CJK SC"/>
        <family val="2"/>
      </rPr>
      <t xml:space="preserve">、ログイン状態</t>
    </r>
  </si>
  <si>
    <t xml:space="preserve">代理ログイン中でなければ元に戻る操作はできない</t>
  </si>
  <si>
    <t xml:space="preserve">POST /admin/stop-impersonating</t>
  </si>
  <si>
    <t xml:space="preserve">店舗管理者は管理者アカウント管理を使えない</t>
  </si>
  <si>
    <t xml:space="preserve">GET /admin/admins
DELETE /admin/admins/{admin}
POST /admin/admins/{admin}/impersonate</t>
  </si>
  <si>
    <t xml:space="preserve">サイト設定</t>
  </si>
  <si>
    <t xml:space="preserve">言語設定画面が表示される</t>
  </si>
  <si>
    <t xml:space="preserve">GET /admin/settings/locales</t>
  </si>
  <si>
    <t xml:space="preserve">src/tests/Feature/Admin/SiteSettingTest.php</t>
  </si>
  <si>
    <t xml:space="preserve">サイト全体の対応言語を更新できる</t>
  </si>
  <si>
    <t xml:space="preserve">PUT /admin/settings/locales</t>
  </si>
  <si>
    <r>
      <rPr>
        <sz val="10"/>
        <rFont val="Noto Sans CJK SC"/>
        <family val="2"/>
      </rPr>
      <t xml:space="preserve">対応言語を</t>
    </r>
    <r>
      <rPr>
        <sz val="10"/>
        <rFont val="Meiryo UI"/>
        <family val="0"/>
        <charset val="1"/>
      </rPr>
      <t xml:space="preserve">0</t>
    </r>
    <r>
      <rPr>
        <sz val="10"/>
        <rFont val="Noto Sans CJK SC"/>
        <family val="2"/>
      </rPr>
      <t xml:space="preserve">件にはできない</t>
    </r>
  </si>
  <si>
    <t xml:space="preserve">未対応の言語は登録できない</t>
  </si>
  <si>
    <t xml:space="preserve">店舗管理者は言語設定を使えない</t>
  </si>
  <si>
    <t xml:space="preserve">GET /admin/settings/locales
PUT /admin/settings/locales</t>
  </si>
  <si>
    <t xml:space="preserve">共通</t>
  </si>
  <si>
    <t xml:space="preserve">メール本文</t>
  </si>
  <si>
    <t xml:space="preserve">管理者の確認コードメールにコードが記載される</t>
  </si>
  <si>
    <t xml:space="preserve">メール件名・本文</t>
  </si>
  <si>
    <t xml:space="preserve">src/tests/Feature/MailContentTest.php</t>
  </si>
  <si>
    <t xml:space="preserve">お問い合わせメールに入力内容と種別名が記載される</t>
  </si>
  <si>
    <t xml:space="preserve">店舗への新規注文通知メールに注文内容が記載される</t>
  </si>
  <si>
    <t xml:space="preserve">データモデル</t>
  </si>
  <si>
    <t xml:space="preserve">店舗が紐付かない店舗管理者は保存できない</t>
  </si>
  <si>
    <t xml:space="preserve">src/tests/Feature/ModelRelationTest.php</t>
  </si>
  <si>
    <t xml:space="preserve">店舗が紐付いたスーパー管理者は保存できない</t>
  </si>
  <si>
    <t xml:space="preserve">注文と注文明細と店舗言語の関連を取得できる</t>
  </si>
  <si>
    <r>
      <rPr>
        <sz val="10"/>
        <rFont val="Noto Sans CJK SC"/>
        <family val="2"/>
      </rPr>
      <t xml:space="preserve">サンプル（</t>
    </r>
    <r>
      <rPr>
        <sz val="10"/>
        <rFont val="Meiryo UI"/>
        <family val="0"/>
        <charset val="1"/>
      </rPr>
      <t xml:space="preserve">Unit</t>
    </r>
    <r>
      <rPr>
        <sz val="10"/>
        <rFont val="Noto Sans CJK SC"/>
        <family val="2"/>
      </rPr>
      <t xml:space="preserve">テスト）</t>
    </r>
  </si>
  <si>
    <r>
      <rPr>
        <sz val="10"/>
        <rFont val="Meiryo UI"/>
        <family val="0"/>
        <charset val="1"/>
      </rPr>
      <t xml:space="preserve">true</t>
    </r>
    <r>
      <rPr>
        <sz val="10"/>
        <rFont val="Noto Sans CJK SC"/>
        <family val="2"/>
      </rPr>
      <t xml:space="preserve">は</t>
    </r>
    <r>
      <rPr>
        <sz val="10"/>
        <rFont val="Meiryo UI"/>
        <family val="0"/>
        <charset val="1"/>
      </rPr>
      <t xml:space="preserve">true</t>
    </r>
    <r>
      <rPr>
        <sz val="10"/>
        <rFont val="Noto Sans CJK SC"/>
        <family val="2"/>
      </rPr>
      <t xml:space="preserve">である</t>
    </r>
  </si>
  <si>
    <t xml:space="preserve">src/tests/Unit/ExampleTest.php</t>
  </si>
  <si>
    <t xml:space="preserve">シナリオ</t>
  </si>
  <si>
    <t xml:space="preserve">前提条件</t>
  </si>
  <si>
    <t xml:space="preserve">手順</t>
  </si>
  <si>
    <t xml:space="preserve">期待結果</t>
  </si>
  <si>
    <t xml:space="preserve">お客様が商品をカートに入れ、ログインして注文できる</t>
  </si>
  <si>
    <r>
      <rPr>
        <sz val="10"/>
        <rFont val="Noto Sans CJK SC"/>
        <family val="2"/>
      </rPr>
      <t xml:space="preserve">・シード済みデータ（店舗「</t>
    </r>
    <r>
      <rPr>
        <sz val="10"/>
        <rFont val="Meiryo UI"/>
        <family val="0"/>
        <charset val="1"/>
      </rPr>
      <t xml:space="preserve">Shop1</t>
    </r>
    <r>
      <rPr>
        <sz val="10"/>
        <rFont val="Noto Sans CJK SC"/>
        <family val="2"/>
      </rPr>
      <t xml:space="preserve">」、商品「りんご」</t>
    </r>
    <r>
      <rPr>
        <sz val="10"/>
        <rFont val="Meiryo UI"/>
        <family val="0"/>
        <charset val="1"/>
      </rPr>
      <t xml:space="preserve">¥300</t>
    </r>
    <r>
      <rPr>
        <sz val="10"/>
        <rFont val="Noto Sans CJK SC"/>
        <family val="2"/>
      </rPr>
      <t xml:space="preserve">・在庫</t>
    </r>
    <r>
      <rPr>
        <sz val="10"/>
        <rFont val="Meiryo UI"/>
        <family val="0"/>
        <charset val="1"/>
      </rPr>
      <t xml:space="preserve">50</t>
    </r>
    <r>
      <rPr>
        <sz val="10"/>
        <rFont val="Noto Sans CJK SC"/>
        <family val="2"/>
      </rPr>
      <t xml:space="preserve">）
・会員 </t>
    </r>
    <r>
      <rPr>
        <sz val="10"/>
        <rFont val="Meiryo UI"/>
        <family val="0"/>
        <charset val="1"/>
      </rPr>
      <t xml:space="preserve">test@example.com / password
</t>
    </r>
    <r>
      <rPr>
        <sz val="10"/>
        <rFont val="Noto Sans CJK SC"/>
        <family val="2"/>
      </rPr>
      <t xml:space="preserve">・未ログイン状態</t>
    </r>
  </si>
  <si>
    <r>
      <rPr>
        <sz val="10"/>
        <rFont val="Meiryo UI"/>
        <family val="0"/>
        <charset val="1"/>
      </rPr>
      <t xml:space="preserve">1. </t>
    </r>
    <r>
      <rPr>
        <sz val="10"/>
        <rFont val="Noto Sans CJK SC"/>
        <family val="2"/>
      </rPr>
      <t xml:space="preserve">トップページで「</t>
    </r>
    <r>
      <rPr>
        <sz val="10"/>
        <rFont val="Meiryo UI"/>
        <family val="0"/>
        <charset val="1"/>
      </rPr>
      <t xml:space="preserve">Shop1</t>
    </r>
    <r>
      <rPr>
        <sz val="10"/>
        <rFont val="Noto Sans CJK SC"/>
        <family val="2"/>
      </rPr>
      <t xml:space="preserve">」を開く
</t>
    </r>
    <r>
      <rPr>
        <sz val="10"/>
        <rFont val="Meiryo UI"/>
        <family val="0"/>
        <charset val="1"/>
      </rPr>
      <t xml:space="preserve">2. </t>
    </r>
    <r>
      <rPr>
        <sz val="10"/>
        <rFont val="Noto Sans CJK SC"/>
        <family val="2"/>
      </rPr>
      <t xml:space="preserve">「りんご」の商品ページで注文個数に</t>
    </r>
    <r>
      <rPr>
        <sz val="10"/>
        <rFont val="Meiryo UI"/>
        <family val="0"/>
        <charset val="1"/>
      </rPr>
      <t xml:space="preserve">2</t>
    </r>
    <r>
      <rPr>
        <sz val="10"/>
        <rFont val="Noto Sans CJK SC"/>
        <family val="2"/>
      </rPr>
      <t xml:space="preserve">を入力し「カートに追加する」を押す
</t>
    </r>
    <r>
      <rPr>
        <sz val="10"/>
        <rFont val="Meiryo UI"/>
        <family val="0"/>
        <charset val="1"/>
      </rPr>
      <t xml:space="preserve">3. </t>
    </r>
    <r>
      <rPr>
        <sz val="10"/>
        <rFont val="Noto Sans CJK SC"/>
        <family val="2"/>
      </rPr>
      <t xml:space="preserve">カートで「ログインして注文する」を押す
</t>
    </r>
    <r>
      <rPr>
        <sz val="10"/>
        <rFont val="Meiryo UI"/>
        <family val="0"/>
        <charset val="1"/>
      </rPr>
      <t xml:space="preserve">4. </t>
    </r>
    <r>
      <rPr>
        <sz val="10"/>
        <rFont val="Noto Sans CJK SC"/>
        <family val="2"/>
      </rPr>
      <t xml:space="preserve">会員のメールアドレスとパスワードでログインする
</t>
    </r>
    <r>
      <rPr>
        <sz val="10"/>
        <rFont val="Meiryo UI"/>
        <family val="0"/>
        <charset val="1"/>
      </rPr>
      <t xml:space="preserve">5. </t>
    </r>
    <r>
      <rPr>
        <sz val="10"/>
        <rFont val="Noto Sans CJK SC"/>
        <family val="2"/>
      </rPr>
      <t xml:space="preserve">カートを開き「注文する」を押し、確認ダイアログで </t>
    </r>
    <r>
      <rPr>
        <sz val="10"/>
        <rFont val="Meiryo UI"/>
        <family val="0"/>
        <charset val="1"/>
      </rPr>
      <t xml:space="preserve">OK </t>
    </r>
    <r>
      <rPr>
        <sz val="10"/>
        <rFont val="Noto Sans CJK SC"/>
        <family val="2"/>
      </rPr>
      <t xml:space="preserve">を押す
</t>
    </r>
    <r>
      <rPr>
        <sz val="10"/>
        <rFont val="Meiryo UI"/>
        <family val="0"/>
        <charset val="1"/>
      </rPr>
      <t xml:space="preserve">6. </t>
    </r>
    <r>
      <rPr>
        <sz val="10"/>
        <rFont val="Noto Sans CJK SC"/>
        <family val="2"/>
      </rPr>
      <t xml:space="preserve">カート・商品ページ・ダッシュボードを開く</t>
    </r>
  </si>
  <si>
    <r>
      <rPr>
        <sz val="10"/>
        <rFont val="Noto Sans CJK SC"/>
        <family val="2"/>
      </rPr>
      <t xml:space="preserve">・</t>
    </r>
    <r>
      <rPr>
        <sz val="10"/>
        <rFont val="Meiryo UI"/>
        <family val="0"/>
        <charset val="1"/>
      </rPr>
      <t xml:space="preserve">2</t>
    </r>
    <r>
      <rPr>
        <sz val="10"/>
        <rFont val="Noto Sans CJK SC"/>
        <family val="2"/>
      </rPr>
      <t xml:space="preserve">の後「カートに追加しました。」と表示され、合計金額 </t>
    </r>
    <r>
      <rPr>
        <sz val="10"/>
        <rFont val="Meiryo UI"/>
        <family val="0"/>
        <charset val="1"/>
      </rPr>
      <t xml:space="preserve">¥600 </t>
    </r>
    <r>
      <rPr>
        <sz val="10"/>
        <rFont val="Noto Sans CJK SC"/>
        <family val="2"/>
      </rPr>
      <t xml:space="preserve">が表示される
・未ログインのカートには「注文する」ボタンが無く、ログイン案内が表示される
・ログイン後もカートの中身が残っている
・確認ダイアログの文言が「この内容で注文しますか？」である
・注文後、店舗ページに「ご注文ありがとうございます。（注文番号：</t>
    </r>
    <r>
      <rPr>
        <sz val="10"/>
        <rFont val="Meiryo UI"/>
        <family val="0"/>
        <charset val="1"/>
      </rPr>
      <t xml:space="preserve">n</t>
    </r>
    <r>
      <rPr>
        <sz val="10"/>
        <rFont val="Noto Sans CJK SC"/>
        <family val="2"/>
      </rPr>
      <t xml:space="preserve">）」が表示される
・カートが空になり、りんごの在庫が</t>
    </r>
    <r>
      <rPr>
        <sz val="10"/>
        <rFont val="Meiryo UI"/>
        <family val="0"/>
        <charset val="1"/>
      </rPr>
      <t xml:space="preserve">48</t>
    </r>
    <r>
      <rPr>
        <sz val="10"/>
        <rFont val="Noto Sans CJK SC"/>
        <family val="2"/>
      </rPr>
      <t xml:space="preserve">点になる
・ダッシュボードの注文履歴に </t>
    </r>
    <r>
      <rPr>
        <sz val="10"/>
        <rFont val="Meiryo UI"/>
        <family val="0"/>
        <charset val="1"/>
      </rPr>
      <t xml:space="preserve">Shop1 </t>
    </r>
    <r>
      <rPr>
        <sz val="10"/>
        <rFont val="Noto Sans CJK SC"/>
        <family val="2"/>
      </rPr>
      <t xml:space="preserve">の注文が表示される</t>
    </r>
  </si>
  <si>
    <t xml:space="preserve">e2e/tests/01-shopping.spec.ts</t>
  </si>
  <si>
    <r>
      <rPr>
        <sz val="10"/>
        <rFont val="Noto Sans CJK SC"/>
        <family val="2"/>
      </rPr>
      <t xml:space="preserve">・シード済みデータ（店舗「</t>
    </r>
    <r>
      <rPr>
        <sz val="10"/>
        <rFont val="Meiryo UI"/>
        <family val="0"/>
        <charset val="1"/>
      </rPr>
      <t xml:space="preserve">Shop1</t>
    </r>
    <r>
      <rPr>
        <sz val="10"/>
        <rFont val="Noto Sans CJK SC"/>
        <family val="2"/>
      </rPr>
      <t xml:space="preserve">」、商品「トマト」）</t>
    </r>
  </si>
  <si>
    <r>
      <rPr>
        <sz val="10"/>
        <rFont val="Meiryo UI"/>
        <family val="0"/>
        <charset val="1"/>
      </rPr>
      <t xml:space="preserve">1. </t>
    </r>
    <r>
      <rPr>
        <sz val="10"/>
        <rFont val="Noto Sans CJK SC"/>
        <family val="2"/>
      </rPr>
      <t xml:space="preserve">「トマト」を</t>
    </r>
    <r>
      <rPr>
        <sz val="10"/>
        <rFont val="Meiryo UI"/>
        <family val="0"/>
        <charset val="1"/>
      </rPr>
      <t xml:space="preserve">1</t>
    </r>
    <r>
      <rPr>
        <sz val="10"/>
        <rFont val="Noto Sans CJK SC"/>
        <family val="2"/>
      </rPr>
      <t xml:space="preserve">個カートに追加する
</t>
    </r>
    <r>
      <rPr>
        <sz val="10"/>
        <rFont val="Meiryo UI"/>
        <family val="0"/>
        <charset val="1"/>
      </rPr>
      <t xml:space="preserve">2. </t>
    </r>
    <r>
      <rPr>
        <sz val="10"/>
        <rFont val="Noto Sans CJK SC"/>
        <family val="2"/>
      </rPr>
      <t xml:space="preserve">カートで「削除」を押し、確認ダイアログで </t>
    </r>
    <r>
      <rPr>
        <sz val="10"/>
        <rFont val="Meiryo UI"/>
        <family val="0"/>
        <charset val="1"/>
      </rPr>
      <t xml:space="preserve">OK </t>
    </r>
    <r>
      <rPr>
        <sz val="10"/>
        <rFont val="Noto Sans CJK SC"/>
        <family val="2"/>
      </rPr>
      <t xml:space="preserve">を押す</t>
    </r>
  </si>
  <si>
    <t xml:space="preserve">・「カートに商品がありません。」と表示される</t>
  </si>
  <si>
    <r>
      <rPr>
        <sz val="10"/>
        <rFont val="Noto Sans CJK SC"/>
        <family val="2"/>
      </rPr>
      <t xml:space="preserve">・シード済みデータ（店舗「</t>
    </r>
    <r>
      <rPr>
        <sz val="10"/>
        <rFont val="Meiryo UI"/>
        <family val="0"/>
        <charset val="1"/>
      </rPr>
      <t xml:space="preserve">Shop1</t>
    </r>
    <r>
      <rPr>
        <sz val="10"/>
        <rFont val="Noto Sans CJK SC"/>
        <family val="2"/>
      </rPr>
      <t xml:space="preserve">」に「りんご」「トマト」）</t>
    </r>
  </si>
  <si>
    <r>
      <rPr>
        <sz val="10"/>
        <rFont val="Meiryo UI"/>
        <family val="0"/>
        <charset val="1"/>
      </rPr>
      <t xml:space="preserve">1. </t>
    </r>
    <r>
      <rPr>
        <sz val="10"/>
        <rFont val="Noto Sans CJK SC"/>
        <family val="2"/>
      </rPr>
      <t xml:space="preserve">「</t>
    </r>
    <r>
      <rPr>
        <sz val="10"/>
        <rFont val="Meiryo UI"/>
        <family val="0"/>
        <charset val="1"/>
      </rPr>
      <t xml:space="preserve">Shop1</t>
    </r>
    <r>
      <rPr>
        <sz val="10"/>
        <rFont val="Noto Sans CJK SC"/>
        <family val="2"/>
      </rPr>
      <t xml:space="preserve">」の店舗ページを開く
</t>
    </r>
    <r>
      <rPr>
        <sz val="10"/>
        <rFont val="Meiryo UI"/>
        <family val="0"/>
        <charset val="1"/>
      </rPr>
      <t xml:space="preserve">2. </t>
    </r>
    <r>
      <rPr>
        <sz val="10"/>
        <rFont val="Noto Sans CJK SC"/>
        <family val="2"/>
      </rPr>
      <t xml:space="preserve">「商品名」欄に「りんご」と入力し「検索」を押す</t>
    </r>
  </si>
  <si>
    <t xml:space="preserve">・検索前は「トマト」が表示されている
・検索後は「りんご」だけが表示され、「トマト」は表示されない</t>
  </si>
  <si>
    <t xml:space="preserve">誤った確認コードでは管理画面にログインできない</t>
  </si>
  <si>
    <r>
      <rPr>
        <sz val="10"/>
        <rFont val="Noto Sans CJK SC"/>
        <family val="2"/>
      </rPr>
      <t xml:space="preserve">・スーパー管理者 </t>
    </r>
    <r>
      <rPr>
        <sz val="10"/>
        <rFont val="Meiryo UI"/>
        <family val="0"/>
        <charset val="1"/>
      </rPr>
      <t xml:space="preserve">admin@example.com / password
</t>
    </r>
    <r>
      <rPr>
        <sz val="10"/>
        <rFont val="Noto Sans CJK SC"/>
        <family val="2"/>
      </rPr>
      <t xml:space="preserve">・</t>
    </r>
    <r>
      <rPr>
        <sz val="10"/>
        <rFont val="Meiryo UI"/>
        <family val="0"/>
        <charset val="1"/>
      </rPr>
      <t xml:space="preserve">Mailpit </t>
    </r>
    <r>
      <rPr>
        <sz val="10"/>
        <rFont val="Noto Sans CJK SC"/>
        <family val="2"/>
      </rPr>
      <t xml:space="preserve">でメールを受信できること</t>
    </r>
  </si>
  <si>
    <r>
      <rPr>
        <sz val="10"/>
        <rFont val="Meiryo UI"/>
        <family val="0"/>
        <charset val="1"/>
      </rPr>
      <t xml:space="preserve">1. </t>
    </r>
    <r>
      <rPr>
        <sz val="10"/>
        <rFont val="Noto Sans CJK SC"/>
        <family val="2"/>
      </rPr>
      <t xml:space="preserve">管理画面ログインでメールアドレスとパスワードを入力し「ログイン」を押す
</t>
    </r>
    <r>
      <rPr>
        <sz val="10"/>
        <rFont val="Meiryo UI"/>
        <family val="0"/>
        <charset val="1"/>
      </rPr>
      <t xml:space="preserve">2. </t>
    </r>
    <r>
      <rPr>
        <sz val="10"/>
        <rFont val="Noto Sans CJK SC"/>
        <family val="2"/>
      </rPr>
      <t xml:space="preserve">届いた確認コードとは異なる</t>
    </r>
    <r>
      <rPr>
        <sz val="10"/>
        <rFont val="Meiryo UI"/>
        <family val="0"/>
        <charset val="1"/>
      </rPr>
      <t xml:space="preserve">6</t>
    </r>
    <r>
      <rPr>
        <sz val="10"/>
        <rFont val="Noto Sans CJK SC"/>
        <family val="2"/>
      </rPr>
      <t xml:space="preserve">桁の数字を入力し「確認する」を押す</t>
    </r>
  </si>
  <si>
    <t xml:space="preserve">・確認コード入力画面に移り、確認コードのメールが届く
・「確認コードが正しくないか、有効期限が切れています。」と表示され、ログインできない</t>
  </si>
  <si>
    <t xml:space="preserve">e2e/tests/02-admin-orders.spec.ts</t>
  </si>
  <si>
    <t xml:space="preserve">店舗管理者が注文をキャンセルすると在庫が戻る</t>
  </si>
  <si>
    <r>
      <rPr>
        <sz val="10"/>
        <rFont val="Noto Sans CJK SC"/>
        <family val="2"/>
      </rPr>
      <t xml:space="preserve">・シード済みデータ（店舗「</t>
    </r>
    <r>
      <rPr>
        <sz val="10"/>
        <rFont val="Meiryo UI"/>
        <family val="0"/>
        <charset val="1"/>
      </rPr>
      <t xml:space="preserve">Shop1</t>
    </r>
    <r>
      <rPr>
        <sz val="10"/>
        <rFont val="Noto Sans CJK SC"/>
        <family val="2"/>
      </rPr>
      <t xml:space="preserve">」、商品「にんじん」在庫</t>
    </r>
    <r>
      <rPr>
        <sz val="10"/>
        <rFont val="Meiryo UI"/>
        <family val="0"/>
        <charset val="1"/>
      </rPr>
      <t xml:space="preserve">100</t>
    </r>
    <r>
      <rPr>
        <sz val="10"/>
        <rFont val="Noto Sans CJK SC"/>
        <family val="2"/>
      </rPr>
      <t xml:space="preserve">）
・会員 </t>
    </r>
    <r>
      <rPr>
        <sz val="10"/>
        <rFont val="Meiryo UI"/>
        <family val="0"/>
        <charset val="1"/>
      </rPr>
      <t xml:space="preserve">test@example.com</t>
    </r>
    <r>
      <rPr>
        <sz val="10"/>
        <rFont val="Noto Sans CJK SC"/>
        <family val="2"/>
      </rPr>
      <t xml:space="preserve">、店舗管理者 </t>
    </r>
    <r>
      <rPr>
        <sz val="10"/>
        <rFont val="Meiryo UI"/>
        <family val="0"/>
        <charset val="1"/>
      </rPr>
      <t xml:space="preserve">shop1@example.com
</t>
    </r>
    <r>
      <rPr>
        <sz val="10"/>
        <rFont val="Noto Sans CJK SC"/>
        <family val="2"/>
      </rPr>
      <t xml:space="preserve">・</t>
    </r>
    <r>
      <rPr>
        <sz val="10"/>
        <rFont val="Meiryo UI"/>
        <family val="0"/>
        <charset val="1"/>
      </rPr>
      <t xml:space="preserve">Mailpit </t>
    </r>
    <r>
      <rPr>
        <sz val="10"/>
        <rFont val="Noto Sans CJK SC"/>
        <family val="2"/>
      </rPr>
      <t xml:space="preserve">でメールを受信できること</t>
    </r>
  </si>
  <si>
    <r>
      <rPr>
        <sz val="10"/>
        <rFont val="Meiryo UI"/>
        <family val="0"/>
        <charset val="1"/>
      </rPr>
      <t xml:space="preserve">1. </t>
    </r>
    <r>
      <rPr>
        <sz val="10"/>
        <rFont val="Noto Sans CJK SC"/>
        <family val="2"/>
      </rPr>
      <t xml:space="preserve">会員でログインし、「にんじん」を</t>
    </r>
    <r>
      <rPr>
        <sz val="10"/>
        <rFont val="Meiryo UI"/>
        <family val="0"/>
        <charset val="1"/>
      </rPr>
      <t xml:space="preserve">3</t>
    </r>
    <r>
      <rPr>
        <sz val="10"/>
        <rFont val="Noto Sans CJK SC"/>
        <family val="2"/>
      </rPr>
      <t xml:space="preserve">個注文する
</t>
    </r>
    <r>
      <rPr>
        <sz val="10"/>
        <rFont val="Meiryo UI"/>
        <family val="0"/>
        <charset val="1"/>
      </rPr>
      <t xml:space="preserve">2. </t>
    </r>
    <r>
      <rPr>
        <sz val="10"/>
        <rFont val="Noto Sans CJK SC"/>
        <family val="2"/>
      </rPr>
      <t xml:space="preserve">完了メッセージから注文番号を控え、商品ページで在庫を確認する
</t>
    </r>
    <r>
      <rPr>
        <sz val="10"/>
        <rFont val="Meiryo UI"/>
        <family val="0"/>
        <charset val="1"/>
      </rPr>
      <t xml:space="preserve">3. </t>
    </r>
    <r>
      <rPr>
        <sz val="10"/>
        <rFont val="Noto Sans CJK SC"/>
        <family val="2"/>
      </rPr>
      <t xml:space="preserve">店舗管理者で管理画面にログインする（メールで届いた確認コードを入力）
</t>
    </r>
    <r>
      <rPr>
        <sz val="10"/>
        <rFont val="Meiryo UI"/>
        <family val="0"/>
        <charset val="1"/>
      </rPr>
      <t xml:space="preserve">4. </t>
    </r>
    <r>
      <rPr>
        <sz val="10"/>
        <rFont val="Noto Sans CJK SC"/>
        <family val="2"/>
      </rPr>
      <t xml:space="preserve">注文一覧で控えた注文番号を確認し、その注文の詳細を開く
</t>
    </r>
    <r>
      <rPr>
        <sz val="10"/>
        <rFont val="Meiryo UI"/>
        <family val="0"/>
        <charset val="1"/>
      </rPr>
      <t xml:space="preserve">5. </t>
    </r>
    <r>
      <rPr>
        <sz val="10"/>
        <rFont val="Noto Sans CJK SC"/>
        <family val="2"/>
      </rPr>
      <t xml:space="preserve">「キャンセル」を押し、確認ダイアログで </t>
    </r>
    <r>
      <rPr>
        <sz val="10"/>
        <rFont val="Meiryo UI"/>
        <family val="0"/>
        <charset val="1"/>
      </rPr>
      <t xml:space="preserve">OK </t>
    </r>
    <r>
      <rPr>
        <sz val="10"/>
        <rFont val="Noto Sans CJK SC"/>
        <family val="2"/>
      </rPr>
      <t xml:space="preserve">を押す
</t>
    </r>
    <r>
      <rPr>
        <sz val="10"/>
        <rFont val="Meiryo UI"/>
        <family val="0"/>
        <charset val="1"/>
      </rPr>
      <t xml:space="preserve">6. </t>
    </r>
    <r>
      <rPr>
        <sz val="10"/>
        <rFont val="Noto Sans CJK SC"/>
        <family val="2"/>
      </rPr>
      <t xml:space="preserve">お客様側の商品ページを再読み込みする</t>
    </r>
  </si>
  <si>
    <r>
      <rPr>
        <sz val="10"/>
        <rFont val="Noto Sans CJK SC"/>
        <family val="2"/>
      </rPr>
      <t xml:space="preserve">・注文後の在庫が</t>
    </r>
    <r>
      <rPr>
        <sz val="10"/>
        <rFont val="Meiryo UI"/>
        <family val="0"/>
        <charset val="1"/>
      </rPr>
      <t xml:space="preserve">97</t>
    </r>
    <r>
      <rPr>
        <sz val="10"/>
        <rFont val="Noto Sans CJK SC"/>
        <family val="2"/>
      </rPr>
      <t xml:space="preserve">点になる
・注文一覧と注文詳細に対象の注文（にんじん）が表示される
・確認ダイアログの文言が「この注文を「キャンセル」にしますか？」である
・「注文のステータスを更新しました。」と表示される
・在庫が</t>
    </r>
    <r>
      <rPr>
        <sz val="10"/>
        <rFont val="Meiryo UI"/>
        <family val="0"/>
        <charset val="1"/>
      </rPr>
      <t xml:space="preserve">100</t>
    </r>
    <r>
      <rPr>
        <sz val="10"/>
        <rFont val="Noto Sans CJK SC"/>
        <family val="2"/>
      </rPr>
      <t xml:space="preserve">点に戻る</t>
    </r>
  </si>
  <si>
    <t xml:space="preserve">店舗管理者が画像付きで商品を登録すると店舗ページに表示される</t>
  </si>
  <si>
    <r>
      <rPr>
        <sz val="10"/>
        <rFont val="Noto Sans CJK SC"/>
        <family val="2"/>
      </rPr>
      <t xml:space="preserve">・店舗管理者 </t>
    </r>
    <r>
      <rPr>
        <sz val="10"/>
        <rFont val="Meiryo UI"/>
        <family val="0"/>
        <charset val="1"/>
      </rPr>
      <t xml:space="preserve">shop1@example.com
</t>
    </r>
    <r>
      <rPr>
        <sz val="10"/>
        <rFont val="Noto Sans CJK SC"/>
        <family val="2"/>
      </rPr>
      <t xml:space="preserve">・</t>
    </r>
    <r>
      <rPr>
        <sz val="10"/>
        <rFont val="Meiryo UI"/>
        <family val="0"/>
        <charset val="1"/>
      </rPr>
      <t xml:space="preserve">Mailpit </t>
    </r>
    <r>
      <rPr>
        <sz val="10"/>
        <rFont val="Noto Sans CJK SC"/>
        <family val="2"/>
      </rPr>
      <t xml:space="preserve">でメールを受信できること</t>
    </r>
  </si>
  <si>
    <r>
      <rPr>
        <sz val="10"/>
        <rFont val="Meiryo UI"/>
        <family val="0"/>
        <charset val="1"/>
      </rPr>
      <t xml:space="preserve">1. </t>
    </r>
    <r>
      <rPr>
        <sz val="10"/>
        <rFont val="Noto Sans CJK SC"/>
        <family val="2"/>
      </rPr>
      <t xml:space="preserve">店舗管理者で管理画面にログインし、商品の新規登録画面を開く
</t>
    </r>
    <r>
      <rPr>
        <sz val="10"/>
        <rFont val="Meiryo UI"/>
        <family val="0"/>
        <charset val="1"/>
      </rPr>
      <t xml:space="preserve">2. </t>
    </r>
    <r>
      <rPr>
        <sz val="10"/>
        <rFont val="Noto Sans CJK SC"/>
        <family val="2"/>
      </rPr>
      <t xml:space="preserve">商品名・商品画像（</t>
    </r>
    <r>
      <rPr>
        <sz val="10"/>
        <rFont val="Meiryo UI"/>
        <family val="0"/>
        <charset val="1"/>
      </rPr>
      <t xml:space="preserve">PNG</t>
    </r>
    <r>
      <rPr>
        <sz val="10"/>
        <rFont val="Noto Sans CJK SC"/>
        <family val="2"/>
      </rPr>
      <t xml:space="preserve">）・価格</t>
    </r>
    <r>
      <rPr>
        <sz val="10"/>
        <rFont val="Meiryo UI"/>
        <family val="0"/>
        <charset val="1"/>
      </rPr>
      <t xml:space="preserve">980</t>
    </r>
    <r>
      <rPr>
        <sz val="10"/>
        <rFont val="Noto Sans CJK SC"/>
        <family val="2"/>
      </rPr>
      <t xml:space="preserve">円・在庫数</t>
    </r>
    <r>
      <rPr>
        <sz val="10"/>
        <rFont val="Meiryo UI"/>
        <family val="0"/>
        <charset val="1"/>
      </rPr>
      <t xml:space="preserve">12</t>
    </r>
    <r>
      <rPr>
        <sz val="10"/>
        <rFont val="Noto Sans CJK SC"/>
        <family val="2"/>
      </rPr>
      <t xml:space="preserve">を入力し「登録する」を押す
</t>
    </r>
    <r>
      <rPr>
        <sz val="10"/>
        <rFont val="Meiryo UI"/>
        <family val="0"/>
        <charset val="1"/>
      </rPr>
      <t xml:space="preserve">3. </t>
    </r>
    <r>
      <rPr>
        <sz val="10"/>
        <rFont val="Noto Sans CJK SC"/>
        <family val="2"/>
      </rPr>
      <t xml:space="preserve">お客様側の「</t>
    </r>
    <r>
      <rPr>
        <sz val="10"/>
        <rFont val="Meiryo UI"/>
        <family val="0"/>
        <charset val="1"/>
      </rPr>
      <t xml:space="preserve">Shop1</t>
    </r>
    <r>
      <rPr>
        <sz val="10"/>
        <rFont val="Noto Sans CJK SC"/>
        <family val="2"/>
      </rPr>
      <t xml:space="preserve">」店舗ページを開く</t>
    </r>
  </si>
  <si>
    <r>
      <rPr>
        <sz val="10"/>
        <rFont val="Noto Sans CJK SC"/>
        <family val="2"/>
      </rPr>
      <t xml:space="preserve">・商品一覧に戻り「商品を登録しました。」と登録した商品名が表示される
・店舗ページに登録した商品が表示される
・商品画像が読み込まれて表示される（画像の幅が</t>
    </r>
    <r>
      <rPr>
        <sz val="10"/>
        <rFont val="Meiryo UI"/>
        <family val="0"/>
        <charset val="1"/>
      </rPr>
      <t xml:space="preserve">0</t>
    </r>
    <r>
      <rPr>
        <sz val="10"/>
        <rFont val="Noto Sans CJK SC"/>
        <family val="2"/>
      </rPr>
      <t xml:space="preserve">より大きい）</t>
    </r>
  </si>
  <si>
    <t xml:space="preserve">e2e/tests/03-admin-products.spec.ts</t>
  </si>
</sst>
</file>

<file path=xl/styles.xml><?xml version="1.0" encoding="utf-8"?>
<styleSheet xmlns="http://schemas.openxmlformats.org/spreadsheetml/2006/main">
  <numFmts count="4">
    <numFmt numFmtId="164" formatCode="General"/>
    <numFmt numFmtId="165" formatCode="yyyy/mm/dd"/>
    <numFmt numFmtId="166" formatCode="#,##0"/>
    <numFmt numFmtId="167" formatCode="0.0%"/>
  </numFmts>
  <fonts count="18">
    <font>
      <sz val="11"/>
      <color theme="1"/>
      <name val="Calibri"/>
      <family val="2"/>
      <charset val="1"/>
    </font>
    <font>
      <sz val="10"/>
      <name val="Arial"/>
      <family val="0"/>
    </font>
    <font>
      <sz val="10"/>
      <name val="Arial"/>
      <family val="0"/>
    </font>
    <font>
      <sz val="10"/>
      <name val="Arial"/>
      <family val="0"/>
    </font>
    <font>
      <b val="true"/>
      <sz val="20"/>
      <color rgb="FF1F4E78"/>
      <name val="Meiryo UI"/>
      <family val="0"/>
      <charset val="1"/>
    </font>
    <font>
      <b val="true"/>
      <sz val="20"/>
      <color rgb="FF1F4E78"/>
      <name val="Noto Sans CJK SC"/>
      <family val="2"/>
    </font>
    <font>
      <sz val="12"/>
      <color rgb="FF595959"/>
      <name val="Noto Sans CJK SC"/>
      <family val="2"/>
    </font>
    <font>
      <sz val="12"/>
      <color rgb="FF595959"/>
      <name val="Meiryo UI"/>
      <family val="0"/>
      <charset val="1"/>
    </font>
    <font>
      <b val="true"/>
      <sz val="10"/>
      <name val="Noto Sans CJK SC"/>
      <family val="2"/>
    </font>
    <font>
      <sz val="10"/>
      <name val="Meiryo UI"/>
      <family val="0"/>
      <charset val="1"/>
    </font>
    <font>
      <sz val="10"/>
      <name val="Noto Sans CJK SC"/>
      <family val="2"/>
    </font>
    <font>
      <b val="true"/>
      <sz val="12"/>
      <name val="Noto Sans CJK SC"/>
      <family val="2"/>
    </font>
    <font>
      <b val="true"/>
      <sz val="10"/>
      <color rgb="FFFFFFFF"/>
      <name val="Noto Sans CJK SC"/>
      <family val="2"/>
    </font>
    <font>
      <b val="true"/>
      <sz val="12"/>
      <color rgb="FF1F4E78"/>
      <name val="Meiryo UI"/>
      <family val="0"/>
      <charset val="1"/>
    </font>
    <font>
      <b val="true"/>
      <sz val="12"/>
      <color rgb="FF1F4E78"/>
      <name val="Noto Sans CJK SC"/>
      <family val="2"/>
    </font>
    <font>
      <b val="true"/>
      <sz val="10"/>
      <color rgb="FFFFFFFF"/>
      <name val="Meiryo UI"/>
      <family val="0"/>
      <charset val="1"/>
    </font>
    <font>
      <b val="true"/>
      <sz val="10"/>
      <name val="Meiryo UI"/>
      <family val="0"/>
      <charset val="1"/>
    </font>
    <font>
      <sz val="9"/>
      <color rgb="FF595959"/>
      <name val="Noto Sans CJK SC"/>
      <family val="2"/>
    </font>
  </fonts>
  <fills count="6">
    <fill>
      <patternFill patternType="none"/>
    </fill>
    <fill>
      <patternFill patternType="gray125"/>
    </fill>
    <fill>
      <patternFill patternType="solid">
        <fgColor rgb="FFDDEBF7"/>
        <bgColor rgb="FFE2EFDA"/>
      </patternFill>
    </fill>
    <fill>
      <patternFill patternType="solid">
        <fgColor rgb="FFFFF2CC"/>
        <bgColor rgb="FFE2EFDA"/>
      </patternFill>
    </fill>
    <fill>
      <patternFill patternType="solid">
        <fgColor rgb="FF1F4E78"/>
        <bgColor rgb="FF003366"/>
      </patternFill>
    </fill>
    <fill>
      <patternFill patternType="solid">
        <fgColor rgb="FFBF8F00"/>
        <bgColor rgb="FF808000"/>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5" fontId="9" fillId="0" borderId="1" xfId="0" applyFont="true" applyBorder="true" applyAlignment="true" applyProtection="false">
      <alignment horizontal="left" vertical="center" textRotation="0" wrapText="fals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5" fillId="4" borderId="1" xfId="0" applyFont="true" applyBorder="tru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6" fontId="16" fillId="2" borderId="1" xfId="0" applyFont="true" applyBorder="true" applyAlignment="true" applyProtection="false">
      <alignment horizontal="center" vertical="center" textRotation="0" wrapText="false" indent="0" shrinkToFit="false"/>
      <protection locked="true" hidden="false"/>
    </xf>
    <xf numFmtId="167" fontId="16" fillId="2" borderId="1"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6" fillId="2" borderId="1" xfId="0" applyFont="true" applyBorder="true" applyAlignment="true" applyProtection="false">
      <alignment horizontal="left" vertical="center"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BF8F00"/>
          <bgColor rgb="FF000000"/>
        </patternFill>
      </fill>
    </dxf>
    <dxf>
      <fill>
        <patternFill patternType="solid">
          <fgColor rgb="FFE2EFDA"/>
          <bgColor rgb="FF000000"/>
        </patternFill>
      </fill>
    </dxf>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BF8F00"/>
      <rgbColor rgb="FFFF6600"/>
      <rgbColor rgb="FF595959"/>
      <rgbColor rgb="FFA6A6A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3:E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0" width="4"/>
    <col collapsed="false" customWidth="true" hidden="false" outlineLevel="0" max="2" min="2" style="0" width="18"/>
    <col collapsed="false" customWidth="true" hidden="false" outlineLevel="0" max="3" min="3" style="0" width="60"/>
    <col collapsed="false" customWidth="true" hidden="false" outlineLevel="0" max="4" min="4" style="0" width="14"/>
    <col collapsed="false" customWidth="true" hidden="false" outlineLevel="0" max="5" min="5" style="0" width="16"/>
  </cols>
  <sheetData>
    <row r="3" customFormat="false" ht="30.55" hidden="false" customHeight="false" outlineLevel="0" collapsed="false">
      <c r="B3" s="1" t="s">
        <v>0</v>
      </c>
    </row>
    <row r="4" customFormat="false" ht="19.4" hidden="false" customHeight="false" outlineLevel="0" collapsed="false">
      <c r="B4" s="2" t="s">
        <v>1</v>
      </c>
    </row>
    <row r="7" customFormat="false" ht="15" hidden="false" customHeight="false" outlineLevel="0" collapsed="false">
      <c r="B7" s="3" t="s">
        <v>2</v>
      </c>
      <c r="C7" s="4" t="s">
        <v>3</v>
      </c>
    </row>
    <row r="8" customFormat="false" ht="15" hidden="false" customHeight="false" outlineLevel="0" collapsed="false">
      <c r="B8" s="3" t="s">
        <v>4</v>
      </c>
      <c r="C8" s="4" t="s">
        <v>5</v>
      </c>
    </row>
    <row r="9" customFormat="false" ht="15" hidden="false" customHeight="false" outlineLevel="0" collapsed="false">
      <c r="B9" s="3" t="s">
        <v>6</v>
      </c>
      <c r="C9" s="5" t="n">
        <v>46294</v>
      </c>
    </row>
    <row r="10" customFormat="false" ht="15" hidden="false" customHeight="false" outlineLevel="0" collapsed="false">
      <c r="B10" s="3" t="s">
        <v>7</v>
      </c>
      <c r="C10" s="6"/>
    </row>
    <row r="11" customFormat="false" ht="15" hidden="false" customHeight="false" outlineLevel="0" collapsed="false">
      <c r="B11" s="3" t="s">
        <v>8</v>
      </c>
      <c r="C11" s="4" t="s">
        <v>9</v>
      </c>
    </row>
    <row r="12" customFormat="false" ht="15" hidden="false" customHeight="false" outlineLevel="0" collapsed="false">
      <c r="B12" s="3" t="s">
        <v>10</v>
      </c>
      <c r="C12" s="5" t="n">
        <v>46294</v>
      </c>
    </row>
    <row r="15" customFormat="false" ht="15" hidden="false" customHeight="false" outlineLevel="0" collapsed="false">
      <c r="B15" s="7" t="s">
        <v>11</v>
      </c>
    </row>
    <row r="16" customFormat="false" ht="15" hidden="false" customHeight="false" outlineLevel="0" collapsed="false">
      <c r="B16" s="8" t="s">
        <v>4</v>
      </c>
      <c r="C16" s="8" t="s">
        <v>12</v>
      </c>
      <c r="D16" s="8" t="s">
        <v>13</v>
      </c>
      <c r="E16" s="8" t="s">
        <v>14</v>
      </c>
    </row>
    <row r="17" customFormat="false" ht="15" hidden="false" customHeight="false" outlineLevel="0" collapsed="false">
      <c r="B17" s="4" t="s">
        <v>5</v>
      </c>
      <c r="C17" s="9" t="s">
        <v>15</v>
      </c>
      <c r="D17" s="5" t="n">
        <v>46294</v>
      </c>
      <c r="E17" s="6"/>
    </row>
    <row r="18" customFormat="false" ht="15" hidden="false" customHeight="false" outlineLevel="0" collapsed="false">
      <c r="B18" s="4"/>
      <c r="C18" s="4"/>
      <c r="D18" s="4"/>
      <c r="E18" s="4"/>
    </row>
    <row r="19" customFormat="false" ht="15" hidden="false" customHeight="false" outlineLevel="0" collapsed="false">
      <c r="B19" s="4"/>
      <c r="C19" s="4"/>
      <c r="D19" s="4"/>
      <c r="E19" s="4"/>
    </row>
    <row r="20" customFormat="false" ht="15" hidden="false" customHeight="false" outlineLevel="0" collapsed="false">
      <c r="B20" s="4"/>
      <c r="C20" s="4"/>
      <c r="D20" s="4"/>
      <c r="E20" s="4"/>
    </row>
    <row r="21" customFormat="false" ht="15" hidden="false" customHeight="false" outlineLevel="0" collapsed="false">
      <c r="B21" s="4"/>
      <c r="C21" s="4"/>
      <c r="D21" s="4"/>
      <c r="E21" s="4"/>
    </row>
  </sheetData>
  <printOptions headings="false" gridLines="false" gridLinesSet="true" horizontalCentered="true" verticalCentered="false"/>
  <pageMargins left="0.4" right="0.4"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&amp;C&amp;P / &amp;N</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14"/>
    <col collapsed="false" customWidth="true" hidden="false" outlineLevel="0" max="7" min="4" style="0" width="10"/>
    <col collapsed="false" customWidth="true" hidden="false" outlineLevel="0" max="8" min="8" style="0" width="12"/>
    <col collapsed="false" customWidth="true" hidden="false" outlineLevel="0" max="9" min="9" style="0" width="40"/>
  </cols>
  <sheetData>
    <row r="2" customFormat="false" ht="19.4" hidden="false" customHeight="false" outlineLevel="0" collapsed="false">
      <c r="B2" s="10" t="s">
        <v>16</v>
      </c>
    </row>
    <row r="3" customFormat="false" ht="15" hidden="false" customHeight="false" outlineLevel="0" collapsed="false">
      <c r="B3" s="8" t="s">
        <v>17</v>
      </c>
      <c r="C3" s="8" t="s">
        <v>18</v>
      </c>
      <c r="D3" s="8" t="s">
        <v>19</v>
      </c>
      <c r="E3" s="8" t="s">
        <v>20</v>
      </c>
      <c r="F3" s="8"/>
      <c r="G3" s="8"/>
      <c r="H3" s="8"/>
      <c r="I3" s="8"/>
    </row>
    <row r="4" customFormat="false" ht="31.5" hidden="false" customHeight="true" outlineLevel="0" collapsed="false">
      <c r="B4" s="11" t="s">
        <v>21</v>
      </c>
      <c r="C4" s="12" t="s">
        <v>22</v>
      </c>
      <c r="D4" s="12" t="n">
        <f aca="false">COUNTA(機能テスト!A2:A203)</f>
        <v>202</v>
      </c>
      <c r="E4" s="13" t="s">
        <v>23</v>
      </c>
      <c r="F4" s="13"/>
      <c r="G4" s="13"/>
      <c r="H4" s="13"/>
      <c r="I4" s="13"/>
    </row>
    <row r="5" customFormat="false" ht="31.5" hidden="false" customHeight="true" outlineLevel="0" collapsed="false">
      <c r="B5" s="13" t="s">
        <v>24</v>
      </c>
      <c r="C5" s="12" t="s">
        <v>25</v>
      </c>
      <c r="D5" s="12" t="n">
        <f aca="false">COUNTA(E2Eテスト!A2:A7)</f>
        <v>6</v>
      </c>
      <c r="E5" s="11" t="s">
        <v>26</v>
      </c>
      <c r="F5" s="11"/>
      <c r="G5" s="11"/>
      <c r="H5" s="11"/>
      <c r="I5" s="11"/>
    </row>
    <row r="7" customFormat="false" ht="19.4" hidden="false" customHeight="false" outlineLevel="0" collapsed="false">
      <c r="B7" s="10" t="s">
        <v>27</v>
      </c>
    </row>
    <row r="8" customFormat="false" ht="15" hidden="false" customHeight="false" outlineLevel="0" collapsed="false">
      <c r="B8" s="8" t="s">
        <v>28</v>
      </c>
      <c r="C8" s="8" t="s">
        <v>19</v>
      </c>
      <c r="D8" s="14" t="s">
        <v>29</v>
      </c>
      <c r="E8" s="14" t="s">
        <v>30</v>
      </c>
      <c r="F8" s="8" t="s">
        <v>31</v>
      </c>
      <c r="G8" s="8" t="s">
        <v>32</v>
      </c>
      <c r="H8" s="8" t="s">
        <v>33</v>
      </c>
    </row>
    <row r="9" customFormat="false" ht="15" hidden="false" customHeight="false" outlineLevel="0" collapsed="false">
      <c r="B9" s="9" t="s">
        <v>34</v>
      </c>
      <c r="C9" s="15" t="n">
        <f aca="false">COUNTIF(機能テスト!$B$2:$B$203,"ショップ")</f>
        <v>45</v>
      </c>
      <c r="D9" s="15" t="n">
        <f aca="false">COUNTIFS(機能テスト!$B$2:$B$203,"ショップ",機能テスト!$H$2:$H$203,"OK")</f>
        <v>45</v>
      </c>
      <c r="E9" s="15" t="n">
        <f aca="false">COUNTIFS(機能テスト!$B$2:$B$203,"ショップ",機能テスト!$H$2:$H$203,"NG")</f>
        <v>0</v>
      </c>
      <c r="F9" s="15" t="n">
        <f aca="false">COUNTIFS(機能テスト!$B$2:$B$203,"ショップ",機能テスト!$H$2:$H$203,"スキップ")</f>
        <v>0</v>
      </c>
      <c r="G9" s="15" t="n">
        <f aca="false">COUNTIFS(機能テスト!$B$2:$B$203,"ショップ",機能テスト!$H$2:$H$203,"未実施")</f>
        <v>0</v>
      </c>
      <c r="H9" s="16" t="n">
        <f aca="false">IFERROR(D9/C9,0)</f>
        <v>1</v>
      </c>
    </row>
    <row r="10" customFormat="false" ht="15" hidden="false" customHeight="false" outlineLevel="0" collapsed="false">
      <c r="B10" s="9" t="s">
        <v>35</v>
      </c>
      <c r="C10" s="15" t="n">
        <f aca="false">COUNTIF(機能テスト!$B$2:$B$203,"会員")</f>
        <v>32</v>
      </c>
      <c r="D10" s="15" t="n">
        <f aca="false">COUNTIFS(機能テスト!$B$2:$B$203,"会員",機能テスト!$H$2:$H$203,"OK")</f>
        <v>32</v>
      </c>
      <c r="E10" s="15" t="n">
        <f aca="false">COUNTIFS(機能テスト!$B$2:$B$203,"会員",機能テスト!$H$2:$H$203,"NG")</f>
        <v>0</v>
      </c>
      <c r="F10" s="15" t="n">
        <f aca="false">COUNTIFS(機能テスト!$B$2:$B$203,"会員",機能テスト!$H$2:$H$203,"スキップ")</f>
        <v>0</v>
      </c>
      <c r="G10" s="15" t="n">
        <f aca="false">COUNTIFS(機能テスト!$B$2:$B$203,"会員",機能テスト!$H$2:$H$203,"未実施")</f>
        <v>0</v>
      </c>
      <c r="H10" s="16" t="n">
        <f aca="false">IFERROR(D10/C10,0)</f>
        <v>1</v>
      </c>
    </row>
    <row r="11" customFormat="false" ht="15" hidden="false" customHeight="false" outlineLevel="0" collapsed="false">
      <c r="B11" s="9" t="s">
        <v>36</v>
      </c>
      <c r="C11" s="15" t="n">
        <f aca="false">COUNTIF(機能テスト!$B$2:$B$203,"管理画面")</f>
        <v>118</v>
      </c>
      <c r="D11" s="15" t="n">
        <f aca="false">COUNTIFS(機能テスト!$B$2:$B$203,"管理画面",機能テスト!$H$2:$H$203,"OK")</f>
        <v>118</v>
      </c>
      <c r="E11" s="15" t="n">
        <f aca="false">COUNTIFS(機能テスト!$B$2:$B$203,"管理画面",機能テスト!$H$2:$H$203,"NG")</f>
        <v>0</v>
      </c>
      <c r="F11" s="15" t="n">
        <f aca="false">COUNTIFS(機能テスト!$B$2:$B$203,"管理画面",機能テスト!$H$2:$H$203,"スキップ")</f>
        <v>0</v>
      </c>
      <c r="G11" s="15" t="n">
        <f aca="false">COUNTIFS(機能テスト!$B$2:$B$203,"管理画面",機能テスト!$H$2:$H$203,"未実施")</f>
        <v>0</v>
      </c>
      <c r="H11" s="16" t="n">
        <f aca="false">IFERROR(D11/C11,0)</f>
        <v>1</v>
      </c>
    </row>
    <row r="12" customFormat="false" ht="15" hidden="false" customHeight="false" outlineLevel="0" collapsed="false">
      <c r="B12" s="9" t="s">
        <v>37</v>
      </c>
      <c r="C12" s="15" t="n">
        <f aca="false">COUNTIF(機能テスト!$B$2:$B$203,"共通")</f>
        <v>7</v>
      </c>
      <c r="D12" s="15" t="n">
        <f aca="false">COUNTIFS(機能テスト!$B$2:$B$203,"共通",機能テスト!$H$2:$H$203,"OK")</f>
        <v>7</v>
      </c>
      <c r="E12" s="15" t="n">
        <f aca="false">COUNTIFS(機能テスト!$B$2:$B$203,"共通",機能テスト!$H$2:$H$203,"NG")</f>
        <v>0</v>
      </c>
      <c r="F12" s="15" t="n">
        <f aca="false">COUNTIFS(機能テスト!$B$2:$B$203,"共通",機能テスト!$H$2:$H$203,"スキップ")</f>
        <v>0</v>
      </c>
      <c r="G12" s="15" t="n">
        <f aca="false">COUNTIFS(機能テスト!$B$2:$B$203,"共通",機能テスト!$H$2:$H$203,"未実施")</f>
        <v>0</v>
      </c>
      <c r="H12" s="16" t="n">
        <f aca="false">IFERROR(D12/C12,0)</f>
        <v>1</v>
      </c>
    </row>
    <row r="13" customFormat="false" ht="15" hidden="false" customHeight="false" outlineLevel="0" collapsed="false">
      <c r="B13" s="4" t="s">
        <v>24</v>
      </c>
      <c r="C13" s="15" t="n">
        <f aca="false">COUNTA(E2Eテスト!$A$2:$A$7)</f>
        <v>6</v>
      </c>
      <c r="D13" s="15" t="n">
        <f aca="false">COUNTIF(E2Eテスト!$G$2:$G$7,"OK")</f>
        <v>6</v>
      </c>
      <c r="E13" s="15" t="n">
        <f aca="false">COUNTIF(E2Eテスト!$G$2:$G$7,"NG")</f>
        <v>0</v>
      </c>
      <c r="F13" s="15" t="n">
        <f aca="false">COUNTIF(E2Eテスト!$G$2:$G$7,"スキップ")</f>
        <v>0</v>
      </c>
      <c r="G13" s="15" t="n">
        <f aca="false">COUNTIF(E2Eテスト!$G$2:$G$7,"未実施")</f>
        <v>0</v>
      </c>
      <c r="H13" s="16" t="n">
        <f aca="false">IFERROR(D13/C13,0)</f>
        <v>1</v>
      </c>
    </row>
    <row r="14" customFormat="false" ht="15" hidden="false" customHeight="false" outlineLevel="0" collapsed="false">
      <c r="B14" s="3" t="s">
        <v>38</v>
      </c>
      <c r="C14" s="17" t="n">
        <f aca="false">SUM(C9:C13)</f>
        <v>208</v>
      </c>
      <c r="D14" s="17" t="n">
        <f aca="false">SUM(D9:D13)</f>
        <v>208</v>
      </c>
      <c r="E14" s="17" t="n">
        <f aca="false">SUM(E9:E13)</f>
        <v>0</v>
      </c>
      <c r="F14" s="17" t="n">
        <f aca="false">SUM(F9:F13)</f>
        <v>0</v>
      </c>
      <c r="G14" s="17" t="n">
        <f aca="false">SUM(G9:G13)</f>
        <v>0</v>
      </c>
      <c r="H14" s="18" t="n">
        <f aca="false">IFERROR(D14/C14,0)</f>
        <v>1</v>
      </c>
    </row>
    <row r="15" customFormat="false" ht="15" hidden="false" customHeight="false" outlineLevel="0" collapsed="false">
      <c r="B15" s="19" t="s">
        <v>39</v>
      </c>
    </row>
    <row r="17" customFormat="false" ht="19.4" hidden="false" customHeight="false" outlineLevel="0" collapsed="false">
      <c r="B17" s="10" t="s">
        <v>40</v>
      </c>
    </row>
    <row r="18" customFormat="false" ht="15" hidden="false" customHeight="false" outlineLevel="0" collapsed="false">
      <c r="B18" s="3" t="s">
        <v>41</v>
      </c>
      <c r="C18" s="9" t="s">
        <v>42</v>
      </c>
      <c r="D18" s="9"/>
      <c r="E18" s="9"/>
      <c r="F18" s="9"/>
      <c r="G18" s="9"/>
      <c r="H18" s="9"/>
      <c r="I18" s="9"/>
    </row>
    <row r="19" customFormat="false" ht="15" hidden="false" customHeight="false" outlineLevel="0" collapsed="false">
      <c r="B19" s="3" t="s">
        <v>43</v>
      </c>
      <c r="C19" s="4" t="s">
        <v>44</v>
      </c>
      <c r="D19" s="4"/>
      <c r="E19" s="4"/>
      <c r="F19" s="4"/>
      <c r="G19" s="4"/>
      <c r="H19" s="4"/>
      <c r="I19" s="4"/>
    </row>
    <row r="20" customFormat="false" ht="15" hidden="false" customHeight="false" outlineLevel="0" collapsed="false">
      <c r="B20" s="20" t="s">
        <v>45</v>
      </c>
      <c r="C20" s="9" t="s">
        <v>46</v>
      </c>
      <c r="D20" s="9"/>
      <c r="E20" s="9"/>
      <c r="F20" s="9"/>
      <c r="G20" s="9"/>
      <c r="H20" s="9"/>
      <c r="I20" s="9"/>
    </row>
    <row r="21" customFormat="false" ht="15" hidden="false" customHeight="false" outlineLevel="0" collapsed="false">
      <c r="B21" s="20" t="s">
        <v>47</v>
      </c>
      <c r="C21" s="4" t="s">
        <v>48</v>
      </c>
      <c r="D21" s="4"/>
      <c r="E21" s="4"/>
      <c r="F21" s="4"/>
      <c r="G21" s="4"/>
      <c r="H21" s="4"/>
      <c r="I21" s="4"/>
    </row>
    <row r="22" customFormat="false" ht="15" hidden="false" customHeight="false" outlineLevel="0" collapsed="false">
      <c r="B22" s="3" t="s">
        <v>49</v>
      </c>
      <c r="C22" s="4" t="s">
        <v>50</v>
      </c>
      <c r="D22" s="4"/>
      <c r="E22" s="4"/>
      <c r="F22" s="4"/>
      <c r="G22" s="4"/>
      <c r="H22" s="4"/>
      <c r="I22" s="4"/>
    </row>
    <row r="23" customFormat="false" ht="15" hidden="false" customHeight="false" outlineLevel="0" collapsed="false">
      <c r="B23" s="3" t="s">
        <v>51</v>
      </c>
      <c r="C23" s="4" t="s">
        <v>52</v>
      </c>
      <c r="D23" s="4"/>
      <c r="E23" s="4"/>
      <c r="F23" s="4"/>
      <c r="G23" s="4"/>
      <c r="H23" s="4"/>
      <c r="I23" s="4"/>
    </row>
    <row r="24" customFormat="false" ht="15" hidden="false" customHeight="false" outlineLevel="0" collapsed="false">
      <c r="B24" s="20" t="s">
        <v>53</v>
      </c>
      <c r="C24" s="4" t="s">
        <v>54</v>
      </c>
      <c r="D24" s="4"/>
      <c r="E24" s="4"/>
      <c r="F24" s="4"/>
      <c r="G24" s="4"/>
      <c r="H24" s="4"/>
      <c r="I24" s="4"/>
    </row>
    <row r="25" customFormat="false" ht="15" hidden="false" customHeight="false" outlineLevel="0" collapsed="false">
      <c r="B25" s="3" t="s">
        <v>55</v>
      </c>
      <c r="C25" s="9" t="s">
        <v>56</v>
      </c>
      <c r="D25" s="9"/>
      <c r="E25" s="9"/>
      <c r="F25" s="9"/>
      <c r="G25" s="9"/>
      <c r="H25" s="9"/>
      <c r="I25" s="9"/>
    </row>
    <row r="27" customFormat="false" ht="19.4" hidden="false" customHeight="false" outlineLevel="0" collapsed="false">
      <c r="B27" s="10" t="s">
        <v>57</v>
      </c>
    </row>
    <row r="28" customFormat="false" ht="15" hidden="false" customHeight="false" outlineLevel="0" collapsed="false">
      <c r="B28" s="21"/>
      <c r="C28" s="22" t="s">
        <v>58</v>
      </c>
    </row>
    <row r="29" customFormat="false" ht="15" hidden="false" customHeight="false" outlineLevel="0" collapsed="false">
      <c r="B29" s="23"/>
      <c r="C29" s="22" t="s">
        <v>59</v>
      </c>
    </row>
    <row r="30" customFormat="false" ht="15" hidden="false" customHeight="false" outlineLevel="0" collapsed="false">
      <c r="C30" s="22" t="s">
        <v>60</v>
      </c>
    </row>
    <row r="31" customFormat="false" ht="15" hidden="false" customHeight="false" outlineLevel="0" collapsed="false">
      <c r="C31" s="22" t="s">
        <v>61</v>
      </c>
    </row>
  </sheetData>
  <mergeCells count="11">
    <mergeCell ref="E3:I3"/>
    <mergeCell ref="E4:I4"/>
    <mergeCell ref="E5:I5"/>
    <mergeCell ref="C18:I18"/>
    <mergeCell ref="C19:I19"/>
    <mergeCell ref="C20:I20"/>
    <mergeCell ref="C21:I21"/>
    <mergeCell ref="C22:I22"/>
    <mergeCell ref="C23:I23"/>
    <mergeCell ref="C24:I24"/>
    <mergeCell ref="C25:I25"/>
  </mergeCells>
  <printOptions headings="false" gridLines="false" gridLinesSet="true" horizontalCentered="true" verticalCentered="false"/>
  <pageMargins left="0.4" right="0.4"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&amp;C&amp;P /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5390625" defaultRowHeight="15" customHeight="true"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24"/>
    <col collapsed="false" customWidth="true" hidden="false" outlineLevel="0" max="4" min="4" style="0" width="52"/>
    <col collapsed="false" customWidth="true" hidden="false" outlineLevel="0" max="5" min="5" style="0" width="40"/>
    <col collapsed="false" customWidth="true" hidden="false" outlineLevel="0" max="6" min="6" style="0" width="30"/>
    <col collapsed="false" customWidth="true" hidden="false" outlineLevel="0" max="7" min="7" style="0" width="36"/>
    <col collapsed="false" customWidth="true" hidden="false" outlineLevel="0" max="8" min="8" style="0" width="8"/>
    <col collapsed="false" customWidth="true" hidden="false" outlineLevel="0" max="9" min="9" style="0" width="12"/>
    <col collapsed="false" customWidth="true" hidden="false" outlineLevel="0" max="10" min="10" style="0" width="24"/>
  </cols>
  <sheetData>
    <row r="1" customFormat="false" ht="30" hidden="false" customHeight="true" outlineLevel="0" collapsed="false">
      <c r="A1" s="24" t="s">
        <v>62</v>
      </c>
      <c r="B1" s="25" t="s">
        <v>63</v>
      </c>
      <c r="C1" s="25" t="s">
        <v>64</v>
      </c>
      <c r="D1" s="25" t="s">
        <v>65</v>
      </c>
      <c r="E1" s="25" t="s">
        <v>66</v>
      </c>
      <c r="F1" s="25" t="s">
        <v>67</v>
      </c>
      <c r="G1" s="25" t="s">
        <v>68</v>
      </c>
      <c r="H1" s="26" t="s">
        <v>69</v>
      </c>
      <c r="I1" s="26" t="s">
        <v>70</v>
      </c>
      <c r="J1" s="26" t="s">
        <v>71</v>
      </c>
    </row>
    <row r="2" customFormat="false" ht="15" hidden="false" customHeight="false" outlineLevel="0" collapsed="false">
      <c r="A2" s="12" t="n">
        <v>1</v>
      </c>
      <c r="B2" s="11" t="s">
        <v>72</v>
      </c>
      <c r="C2" s="11" t="s">
        <v>73</v>
      </c>
      <c r="D2" s="11" t="s">
        <v>74</v>
      </c>
      <c r="E2" s="13" t="s">
        <v>75</v>
      </c>
      <c r="F2" s="11" t="s">
        <v>76</v>
      </c>
      <c r="G2" s="13" t="s">
        <v>77</v>
      </c>
      <c r="H2" s="12" t="s">
        <v>29</v>
      </c>
      <c r="I2" s="27" t="n">
        <v>46294</v>
      </c>
      <c r="J2" s="13"/>
    </row>
    <row r="3" customFormat="false" ht="29.85" hidden="false" customHeight="false" outlineLevel="0" collapsed="false">
      <c r="A3" s="12" t="n">
        <v>2</v>
      </c>
      <c r="B3" s="11" t="s">
        <v>72</v>
      </c>
      <c r="C3" s="11" t="s">
        <v>73</v>
      </c>
      <c r="D3" s="11" t="s">
        <v>78</v>
      </c>
      <c r="E3" s="13" t="s">
        <v>75</v>
      </c>
      <c r="F3" s="11" t="s">
        <v>79</v>
      </c>
      <c r="G3" s="13" t="s">
        <v>80</v>
      </c>
      <c r="H3" s="12" t="s">
        <v>29</v>
      </c>
      <c r="I3" s="27" t="n">
        <v>46294</v>
      </c>
      <c r="J3" s="13"/>
    </row>
    <row r="4" customFormat="false" ht="29.85" hidden="false" customHeight="false" outlineLevel="0" collapsed="false">
      <c r="A4" s="12" t="n">
        <v>3</v>
      </c>
      <c r="B4" s="11" t="s">
        <v>72</v>
      </c>
      <c r="C4" s="11" t="s">
        <v>73</v>
      </c>
      <c r="D4" s="11" t="s">
        <v>81</v>
      </c>
      <c r="E4" s="13" t="s">
        <v>82</v>
      </c>
      <c r="F4" s="11" t="s">
        <v>79</v>
      </c>
      <c r="G4" s="13" t="s">
        <v>80</v>
      </c>
      <c r="H4" s="12" t="s">
        <v>29</v>
      </c>
      <c r="I4" s="27" t="n">
        <v>46294</v>
      </c>
      <c r="J4" s="13"/>
    </row>
    <row r="5" customFormat="false" ht="29.85" hidden="false" customHeight="false" outlineLevel="0" collapsed="false">
      <c r="A5" s="12" t="n">
        <v>4</v>
      </c>
      <c r="B5" s="11" t="s">
        <v>72</v>
      </c>
      <c r="C5" s="11" t="s">
        <v>73</v>
      </c>
      <c r="D5" s="11" t="s">
        <v>83</v>
      </c>
      <c r="E5" s="13" t="s">
        <v>82</v>
      </c>
      <c r="F5" s="11" t="s">
        <v>79</v>
      </c>
      <c r="G5" s="13" t="s">
        <v>80</v>
      </c>
      <c r="H5" s="12" t="s">
        <v>29</v>
      </c>
      <c r="I5" s="27" t="n">
        <v>46294</v>
      </c>
      <c r="J5" s="13"/>
    </row>
    <row r="6" customFormat="false" ht="15" hidden="false" customHeight="false" outlineLevel="0" collapsed="false">
      <c r="A6" s="12" t="n">
        <v>5</v>
      </c>
      <c r="B6" s="11" t="s">
        <v>72</v>
      </c>
      <c r="C6" s="11" t="s">
        <v>73</v>
      </c>
      <c r="D6" s="11" t="s">
        <v>84</v>
      </c>
      <c r="E6" s="13" t="s">
        <v>82</v>
      </c>
      <c r="F6" s="11" t="s">
        <v>85</v>
      </c>
      <c r="G6" s="13" t="s">
        <v>80</v>
      </c>
      <c r="H6" s="12" t="s">
        <v>29</v>
      </c>
      <c r="I6" s="27" t="n">
        <v>46294</v>
      </c>
      <c r="J6" s="13"/>
    </row>
    <row r="7" customFormat="false" ht="15" hidden="false" customHeight="false" outlineLevel="0" collapsed="false">
      <c r="A7" s="12" t="n">
        <v>6</v>
      </c>
      <c r="B7" s="11" t="s">
        <v>72</v>
      </c>
      <c r="C7" s="11" t="s">
        <v>73</v>
      </c>
      <c r="D7" s="11" t="s">
        <v>86</v>
      </c>
      <c r="E7" s="13" t="s">
        <v>82</v>
      </c>
      <c r="F7" s="13" t="s">
        <v>87</v>
      </c>
      <c r="G7" s="13" t="s">
        <v>80</v>
      </c>
      <c r="H7" s="12" t="s">
        <v>29</v>
      </c>
      <c r="I7" s="27" t="n">
        <v>46294</v>
      </c>
      <c r="J7" s="13"/>
    </row>
    <row r="8" customFormat="false" ht="29.85" hidden="false" customHeight="false" outlineLevel="0" collapsed="false">
      <c r="A8" s="12" t="n">
        <v>7</v>
      </c>
      <c r="B8" s="11" t="s">
        <v>72</v>
      </c>
      <c r="C8" s="11" t="s">
        <v>73</v>
      </c>
      <c r="D8" s="11" t="s">
        <v>88</v>
      </c>
      <c r="E8" s="13" t="s">
        <v>89</v>
      </c>
      <c r="F8" s="11" t="s">
        <v>79</v>
      </c>
      <c r="G8" s="13" t="s">
        <v>80</v>
      </c>
      <c r="H8" s="12" t="s">
        <v>29</v>
      </c>
      <c r="I8" s="27" t="n">
        <v>46294</v>
      </c>
      <c r="J8" s="13"/>
    </row>
    <row r="9" customFormat="false" ht="15" hidden="false" customHeight="false" outlineLevel="0" collapsed="false">
      <c r="A9" s="12" t="n">
        <v>8</v>
      </c>
      <c r="B9" s="11" t="s">
        <v>72</v>
      </c>
      <c r="C9" s="11" t="s">
        <v>73</v>
      </c>
      <c r="D9" s="11" t="s">
        <v>90</v>
      </c>
      <c r="E9" s="13" t="s">
        <v>91</v>
      </c>
      <c r="F9" s="13" t="s">
        <v>87</v>
      </c>
      <c r="G9" s="13" t="s">
        <v>80</v>
      </c>
      <c r="H9" s="12" t="s">
        <v>29</v>
      </c>
      <c r="I9" s="27" t="n">
        <v>46294</v>
      </c>
      <c r="J9" s="13"/>
    </row>
    <row r="10" customFormat="false" ht="15" hidden="false" customHeight="false" outlineLevel="0" collapsed="false">
      <c r="A10" s="12" t="n">
        <v>9</v>
      </c>
      <c r="B10" s="11" t="s">
        <v>72</v>
      </c>
      <c r="C10" s="11" t="s">
        <v>73</v>
      </c>
      <c r="D10" s="11" t="s">
        <v>92</v>
      </c>
      <c r="E10" s="13" t="s">
        <v>93</v>
      </c>
      <c r="F10" s="11" t="s">
        <v>94</v>
      </c>
      <c r="G10" s="13" t="s">
        <v>80</v>
      </c>
      <c r="H10" s="12" t="s">
        <v>29</v>
      </c>
      <c r="I10" s="27" t="n">
        <v>46294</v>
      </c>
      <c r="J10" s="13"/>
    </row>
    <row r="11" customFormat="false" ht="15" hidden="false" customHeight="false" outlineLevel="0" collapsed="false">
      <c r="A11" s="12" t="n">
        <v>10</v>
      </c>
      <c r="B11" s="11" t="s">
        <v>72</v>
      </c>
      <c r="C11" s="11" t="s">
        <v>73</v>
      </c>
      <c r="D11" s="11" t="s">
        <v>95</v>
      </c>
      <c r="E11" s="13" t="s">
        <v>93</v>
      </c>
      <c r="F11" s="11" t="s">
        <v>96</v>
      </c>
      <c r="G11" s="13" t="s">
        <v>80</v>
      </c>
      <c r="H11" s="12" t="s">
        <v>29</v>
      </c>
      <c r="I11" s="27" t="n">
        <v>46294</v>
      </c>
      <c r="J11" s="13"/>
    </row>
    <row r="12" customFormat="false" ht="29.85" hidden="false" customHeight="false" outlineLevel="0" collapsed="false">
      <c r="A12" s="12" t="n">
        <v>11</v>
      </c>
      <c r="B12" s="11" t="s">
        <v>72</v>
      </c>
      <c r="C12" s="11" t="s">
        <v>97</v>
      </c>
      <c r="D12" s="11" t="s">
        <v>98</v>
      </c>
      <c r="E12" s="13" t="s">
        <v>99</v>
      </c>
      <c r="F12" s="11" t="s">
        <v>79</v>
      </c>
      <c r="G12" s="13" t="s">
        <v>100</v>
      </c>
      <c r="H12" s="12" t="s">
        <v>29</v>
      </c>
      <c r="I12" s="27" t="n">
        <v>46294</v>
      </c>
      <c r="J12" s="13"/>
    </row>
    <row r="13" customFormat="false" ht="29.85" hidden="false" customHeight="false" outlineLevel="0" collapsed="false">
      <c r="A13" s="12" t="n">
        <v>12</v>
      </c>
      <c r="B13" s="11" t="s">
        <v>72</v>
      </c>
      <c r="C13" s="11" t="s">
        <v>97</v>
      </c>
      <c r="D13" s="11" t="s">
        <v>101</v>
      </c>
      <c r="E13" s="13" t="s">
        <v>99</v>
      </c>
      <c r="F13" s="11" t="s">
        <v>102</v>
      </c>
      <c r="G13" s="13" t="s">
        <v>100</v>
      </c>
      <c r="H13" s="12" t="s">
        <v>29</v>
      </c>
      <c r="I13" s="27" t="n">
        <v>46294</v>
      </c>
      <c r="J13" s="13"/>
    </row>
    <row r="14" customFormat="false" ht="15" hidden="false" customHeight="false" outlineLevel="0" collapsed="false">
      <c r="A14" s="12" t="n">
        <v>13</v>
      </c>
      <c r="B14" s="11" t="s">
        <v>72</v>
      </c>
      <c r="C14" s="11" t="s">
        <v>97</v>
      </c>
      <c r="D14" s="11" t="s">
        <v>103</v>
      </c>
      <c r="E14" s="13" t="s">
        <v>99</v>
      </c>
      <c r="F14" s="13" t="s">
        <v>87</v>
      </c>
      <c r="G14" s="13" t="s">
        <v>100</v>
      </c>
      <c r="H14" s="12" t="s">
        <v>29</v>
      </c>
      <c r="I14" s="27" t="n">
        <v>46294</v>
      </c>
      <c r="J14" s="13"/>
    </row>
    <row r="15" customFormat="false" ht="15" hidden="false" customHeight="false" outlineLevel="0" collapsed="false">
      <c r="A15" s="12" t="n">
        <v>14</v>
      </c>
      <c r="B15" s="11" t="s">
        <v>72</v>
      </c>
      <c r="C15" s="11" t="s">
        <v>97</v>
      </c>
      <c r="D15" s="11" t="s">
        <v>104</v>
      </c>
      <c r="E15" s="13" t="s">
        <v>99</v>
      </c>
      <c r="F15" s="13" t="s">
        <v>87</v>
      </c>
      <c r="G15" s="13" t="s">
        <v>100</v>
      </c>
      <c r="H15" s="12" t="s">
        <v>29</v>
      </c>
      <c r="I15" s="27" t="n">
        <v>46294</v>
      </c>
      <c r="J15" s="13"/>
    </row>
    <row r="16" customFormat="false" ht="15" hidden="false" customHeight="false" outlineLevel="0" collapsed="false">
      <c r="A16" s="12" t="n">
        <v>15</v>
      </c>
      <c r="B16" s="11" t="s">
        <v>72</v>
      </c>
      <c r="C16" s="11" t="s">
        <v>97</v>
      </c>
      <c r="D16" s="11" t="s">
        <v>105</v>
      </c>
      <c r="E16" s="13" t="s">
        <v>106</v>
      </c>
      <c r="F16" s="13" t="s">
        <v>87</v>
      </c>
      <c r="G16" s="13" t="s">
        <v>100</v>
      </c>
      <c r="H16" s="12" t="s">
        <v>29</v>
      </c>
      <c r="I16" s="27" t="n">
        <v>46294</v>
      </c>
      <c r="J16" s="13"/>
    </row>
    <row r="17" customFormat="false" ht="29.85" hidden="false" customHeight="false" outlineLevel="0" collapsed="false">
      <c r="A17" s="12" t="n">
        <v>16</v>
      </c>
      <c r="B17" s="11" t="s">
        <v>72</v>
      </c>
      <c r="C17" s="11" t="s">
        <v>107</v>
      </c>
      <c r="D17" s="11" t="s">
        <v>108</v>
      </c>
      <c r="E17" s="13" t="s">
        <v>109</v>
      </c>
      <c r="F17" s="11" t="s">
        <v>79</v>
      </c>
      <c r="G17" s="13" t="s">
        <v>110</v>
      </c>
      <c r="H17" s="12" t="s">
        <v>29</v>
      </c>
      <c r="I17" s="27" t="n">
        <v>46294</v>
      </c>
      <c r="J17" s="13"/>
    </row>
    <row r="18" customFormat="false" ht="29.85" hidden="false" customHeight="false" outlineLevel="0" collapsed="false">
      <c r="A18" s="12" t="n">
        <v>17</v>
      </c>
      <c r="B18" s="11" t="s">
        <v>72</v>
      </c>
      <c r="C18" s="11" t="s">
        <v>107</v>
      </c>
      <c r="D18" s="11" t="s">
        <v>111</v>
      </c>
      <c r="E18" s="13" t="s">
        <v>112</v>
      </c>
      <c r="F18" s="11" t="s">
        <v>113</v>
      </c>
      <c r="G18" s="13" t="s">
        <v>110</v>
      </c>
      <c r="H18" s="12" t="s">
        <v>29</v>
      </c>
      <c r="I18" s="27" t="n">
        <v>46294</v>
      </c>
      <c r="J18" s="13"/>
    </row>
    <row r="19" customFormat="false" ht="29.85" hidden="false" customHeight="false" outlineLevel="0" collapsed="false">
      <c r="A19" s="12" t="n">
        <v>18</v>
      </c>
      <c r="B19" s="11" t="s">
        <v>72</v>
      </c>
      <c r="C19" s="11" t="s">
        <v>107</v>
      </c>
      <c r="D19" s="11" t="s">
        <v>114</v>
      </c>
      <c r="E19" s="13" t="s">
        <v>109</v>
      </c>
      <c r="F19" s="11" t="s">
        <v>79</v>
      </c>
      <c r="G19" s="13" t="s">
        <v>110</v>
      </c>
      <c r="H19" s="12" t="s">
        <v>29</v>
      </c>
      <c r="I19" s="27" t="n">
        <v>46294</v>
      </c>
      <c r="J19" s="13"/>
    </row>
    <row r="20" customFormat="false" ht="15" hidden="false" customHeight="false" outlineLevel="0" collapsed="false">
      <c r="A20" s="12" t="n">
        <v>19</v>
      </c>
      <c r="B20" s="11" t="s">
        <v>72</v>
      </c>
      <c r="C20" s="11" t="s">
        <v>107</v>
      </c>
      <c r="D20" s="11" t="s">
        <v>115</v>
      </c>
      <c r="E20" s="13" t="s">
        <v>112</v>
      </c>
      <c r="F20" s="11" t="s">
        <v>116</v>
      </c>
      <c r="G20" s="13" t="s">
        <v>110</v>
      </c>
      <c r="H20" s="12" t="s">
        <v>29</v>
      </c>
      <c r="I20" s="27" t="n">
        <v>46294</v>
      </c>
      <c r="J20" s="13"/>
    </row>
    <row r="21" customFormat="false" ht="15" hidden="false" customHeight="false" outlineLevel="0" collapsed="false">
      <c r="A21" s="12" t="n">
        <v>20</v>
      </c>
      <c r="B21" s="11" t="s">
        <v>72</v>
      </c>
      <c r="C21" s="11" t="s">
        <v>107</v>
      </c>
      <c r="D21" s="11" t="s">
        <v>117</v>
      </c>
      <c r="E21" s="13" t="s">
        <v>112</v>
      </c>
      <c r="F21" s="11" t="s">
        <v>118</v>
      </c>
      <c r="G21" s="13" t="s">
        <v>110</v>
      </c>
      <c r="H21" s="12" t="s">
        <v>29</v>
      </c>
      <c r="I21" s="27" t="n">
        <v>46294</v>
      </c>
      <c r="J21" s="13"/>
    </row>
    <row r="22" customFormat="false" ht="29.85" hidden="false" customHeight="false" outlineLevel="0" collapsed="false">
      <c r="A22" s="12" t="n">
        <v>21</v>
      </c>
      <c r="B22" s="11" t="s">
        <v>72</v>
      </c>
      <c r="C22" s="11" t="s">
        <v>107</v>
      </c>
      <c r="D22" s="11" t="s">
        <v>119</v>
      </c>
      <c r="E22" s="13" t="s">
        <v>112</v>
      </c>
      <c r="F22" s="11" t="s">
        <v>120</v>
      </c>
      <c r="G22" s="13" t="s">
        <v>110</v>
      </c>
      <c r="H22" s="12" t="s">
        <v>29</v>
      </c>
      <c r="I22" s="27" t="n">
        <v>46294</v>
      </c>
      <c r="J22" s="13"/>
    </row>
    <row r="23" customFormat="false" ht="15" hidden="false" customHeight="false" outlineLevel="0" collapsed="false">
      <c r="A23" s="12" t="n">
        <v>22</v>
      </c>
      <c r="B23" s="11" t="s">
        <v>72</v>
      </c>
      <c r="C23" s="11" t="s">
        <v>107</v>
      </c>
      <c r="D23" s="11" t="s">
        <v>121</v>
      </c>
      <c r="E23" s="13" t="s">
        <v>112</v>
      </c>
      <c r="F23" s="11" t="s">
        <v>122</v>
      </c>
      <c r="G23" s="13" t="s">
        <v>110</v>
      </c>
      <c r="H23" s="12" t="s">
        <v>29</v>
      </c>
      <c r="I23" s="27" t="n">
        <v>46294</v>
      </c>
      <c r="J23" s="13"/>
    </row>
    <row r="24" customFormat="false" ht="29.85" hidden="false" customHeight="false" outlineLevel="0" collapsed="false">
      <c r="A24" s="12" t="n">
        <v>23</v>
      </c>
      <c r="B24" s="11" t="s">
        <v>72</v>
      </c>
      <c r="C24" s="11" t="s">
        <v>107</v>
      </c>
      <c r="D24" s="11" t="s">
        <v>123</v>
      </c>
      <c r="E24" s="13" t="s">
        <v>112</v>
      </c>
      <c r="F24" s="11" t="s">
        <v>120</v>
      </c>
      <c r="G24" s="13" t="s">
        <v>110</v>
      </c>
      <c r="H24" s="12" t="s">
        <v>29</v>
      </c>
      <c r="I24" s="27" t="n">
        <v>46294</v>
      </c>
      <c r="J24" s="13"/>
    </row>
    <row r="25" customFormat="false" ht="15" hidden="false" customHeight="false" outlineLevel="0" collapsed="false">
      <c r="A25" s="12" t="n">
        <v>24</v>
      </c>
      <c r="B25" s="11" t="s">
        <v>72</v>
      </c>
      <c r="C25" s="11" t="s">
        <v>107</v>
      </c>
      <c r="D25" s="11" t="s">
        <v>124</v>
      </c>
      <c r="E25" s="13" t="s">
        <v>112</v>
      </c>
      <c r="F25" s="13" t="s">
        <v>87</v>
      </c>
      <c r="G25" s="13" t="s">
        <v>110</v>
      </c>
      <c r="H25" s="12" t="s">
        <v>29</v>
      </c>
      <c r="I25" s="27" t="n">
        <v>46294</v>
      </c>
      <c r="J25" s="13"/>
    </row>
    <row r="26" customFormat="false" ht="15" hidden="false" customHeight="false" outlineLevel="0" collapsed="false">
      <c r="A26" s="12" t="n">
        <v>25</v>
      </c>
      <c r="B26" s="11" t="s">
        <v>72</v>
      </c>
      <c r="C26" s="11" t="s">
        <v>107</v>
      </c>
      <c r="D26" s="11" t="s">
        <v>125</v>
      </c>
      <c r="E26" s="13" t="s">
        <v>112</v>
      </c>
      <c r="F26" s="13" t="s">
        <v>87</v>
      </c>
      <c r="G26" s="13" t="s">
        <v>110</v>
      </c>
      <c r="H26" s="12" t="s">
        <v>29</v>
      </c>
      <c r="I26" s="27" t="n">
        <v>46294</v>
      </c>
      <c r="J26" s="13"/>
    </row>
    <row r="27" customFormat="false" ht="15" hidden="false" customHeight="false" outlineLevel="0" collapsed="false">
      <c r="A27" s="12" t="n">
        <v>26</v>
      </c>
      <c r="B27" s="11" t="s">
        <v>72</v>
      </c>
      <c r="C27" s="11" t="s">
        <v>107</v>
      </c>
      <c r="D27" s="11" t="s">
        <v>126</v>
      </c>
      <c r="E27" s="13" t="s">
        <v>112</v>
      </c>
      <c r="F27" s="11" t="s">
        <v>116</v>
      </c>
      <c r="G27" s="13" t="s">
        <v>110</v>
      </c>
      <c r="H27" s="12" t="s">
        <v>29</v>
      </c>
      <c r="I27" s="27" t="n">
        <v>46294</v>
      </c>
      <c r="J27" s="13"/>
    </row>
    <row r="28" customFormat="false" ht="29.85" hidden="false" customHeight="false" outlineLevel="0" collapsed="false">
      <c r="A28" s="12" t="n">
        <v>27</v>
      </c>
      <c r="B28" s="11" t="s">
        <v>72</v>
      </c>
      <c r="C28" s="11" t="s">
        <v>107</v>
      </c>
      <c r="D28" s="11" t="s">
        <v>127</v>
      </c>
      <c r="E28" s="13" t="s">
        <v>128</v>
      </c>
      <c r="F28" s="11" t="s">
        <v>113</v>
      </c>
      <c r="G28" s="13" t="s">
        <v>110</v>
      </c>
      <c r="H28" s="12" t="s">
        <v>29</v>
      </c>
      <c r="I28" s="27" t="n">
        <v>46294</v>
      </c>
      <c r="J28" s="13"/>
    </row>
    <row r="29" customFormat="false" ht="29.85" hidden="false" customHeight="false" outlineLevel="0" collapsed="false">
      <c r="A29" s="12" t="n">
        <v>28</v>
      </c>
      <c r="B29" s="11" t="s">
        <v>72</v>
      </c>
      <c r="C29" s="11" t="s">
        <v>129</v>
      </c>
      <c r="D29" s="11" t="s">
        <v>130</v>
      </c>
      <c r="E29" s="13" t="s">
        <v>131</v>
      </c>
      <c r="F29" s="11" t="s">
        <v>132</v>
      </c>
      <c r="G29" s="13" t="s">
        <v>133</v>
      </c>
      <c r="H29" s="12" t="s">
        <v>29</v>
      </c>
      <c r="I29" s="27" t="n">
        <v>46294</v>
      </c>
      <c r="J29" s="13"/>
    </row>
    <row r="30" customFormat="false" ht="15" hidden="false" customHeight="false" outlineLevel="0" collapsed="false">
      <c r="A30" s="12" t="n">
        <v>29</v>
      </c>
      <c r="B30" s="11" t="s">
        <v>72</v>
      </c>
      <c r="C30" s="11" t="s">
        <v>129</v>
      </c>
      <c r="D30" s="11" t="s">
        <v>134</v>
      </c>
      <c r="E30" s="13" t="s">
        <v>131</v>
      </c>
      <c r="F30" s="11" t="s">
        <v>135</v>
      </c>
      <c r="G30" s="13" t="s">
        <v>133</v>
      </c>
      <c r="H30" s="12" t="s">
        <v>29</v>
      </c>
      <c r="I30" s="27" t="n">
        <v>46294</v>
      </c>
      <c r="J30" s="13"/>
    </row>
    <row r="31" customFormat="false" ht="15" hidden="false" customHeight="false" outlineLevel="0" collapsed="false">
      <c r="A31" s="12" t="n">
        <v>30</v>
      </c>
      <c r="B31" s="11" t="s">
        <v>72</v>
      </c>
      <c r="C31" s="11" t="s">
        <v>129</v>
      </c>
      <c r="D31" s="11" t="s">
        <v>136</v>
      </c>
      <c r="E31" s="13" t="s">
        <v>131</v>
      </c>
      <c r="F31" s="11" t="s">
        <v>137</v>
      </c>
      <c r="G31" s="13" t="s">
        <v>133</v>
      </c>
      <c r="H31" s="12" t="s">
        <v>29</v>
      </c>
      <c r="I31" s="27" t="n">
        <v>46294</v>
      </c>
      <c r="J31" s="13"/>
    </row>
    <row r="32" customFormat="false" ht="15" hidden="false" customHeight="false" outlineLevel="0" collapsed="false">
      <c r="A32" s="12" t="n">
        <v>31</v>
      </c>
      <c r="B32" s="11" t="s">
        <v>72</v>
      </c>
      <c r="C32" s="11" t="s">
        <v>129</v>
      </c>
      <c r="D32" s="11" t="s">
        <v>138</v>
      </c>
      <c r="E32" s="13" t="s">
        <v>131</v>
      </c>
      <c r="F32" s="11" t="s">
        <v>135</v>
      </c>
      <c r="G32" s="13" t="s">
        <v>133</v>
      </c>
      <c r="H32" s="12" t="s">
        <v>29</v>
      </c>
      <c r="I32" s="27" t="n">
        <v>46294</v>
      </c>
      <c r="J32" s="13"/>
    </row>
    <row r="33" customFormat="false" ht="15" hidden="false" customHeight="false" outlineLevel="0" collapsed="false">
      <c r="A33" s="12" t="n">
        <v>32</v>
      </c>
      <c r="B33" s="11" t="s">
        <v>72</v>
      </c>
      <c r="C33" s="11" t="s">
        <v>129</v>
      </c>
      <c r="D33" s="11" t="s">
        <v>139</v>
      </c>
      <c r="E33" s="13" t="s">
        <v>131</v>
      </c>
      <c r="F33" s="11" t="s">
        <v>135</v>
      </c>
      <c r="G33" s="13" t="s">
        <v>133</v>
      </c>
      <c r="H33" s="12" t="s">
        <v>29</v>
      </c>
      <c r="I33" s="27" t="n">
        <v>46294</v>
      </c>
      <c r="J33" s="13"/>
    </row>
    <row r="34" customFormat="false" ht="15" hidden="false" customHeight="false" outlineLevel="0" collapsed="false">
      <c r="A34" s="12" t="n">
        <v>33</v>
      </c>
      <c r="B34" s="11" t="s">
        <v>72</v>
      </c>
      <c r="C34" s="11" t="s">
        <v>129</v>
      </c>
      <c r="D34" s="11" t="s">
        <v>140</v>
      </c>
      <c r="E34" s="13" t="s">
        <v>131</v>
      </c>
      <c r="F34" s="11" t="s">
        <v>141</v>
      </c>
      <c r="G34" s="13" t="s">
        <v>133</v>
      </c>
      <c r="H34" s="12" t="s">
        <v>29</v>
      </c>
      <c r="I34" s="27" t="n">
        <v>46294</v>
      </c>
      <c r="J34" s="13"/>
    </row>
    <row r="35" customFormat="false" ht="15" hidden="false" customHeight="false" outlineLevel="0" collapsed="false">
      <c r="A35" s="12" t="n">
        <v>34</v>
      </c>
      <c r="B35" s="11" t="s">
        <v>72</v>
      </c>
      <c r="C35" s="11" t="s">
        <v>129</v>
      </c>
      <c r="D35" s="11" t="s">
        <v>142</v>
      </c>
      <c r="E35" s="13" t="s">
        <v>131</v>
      </c>
      <c r="F35" s="11" t="s">
        <v>143</v>
      </c>
      <c r="G35" s="13" t="s">
        <v>133</v>
      </c>
      <c r="H35" s="12" t="s">
        <v>29</v>
      </c>
      <c r="I35" s="27" t="n">
        <v>46294</v>
      </c>
      <c r="J35" s="13"/>
    </row>
    <row r="36" customFormat="false" ht="29.85" hidden="false" customHeight="false" outlineLevel="0" collapsed="false">
      <c r="A36" s="12" t="n">
        <v>35</v>
      </c>
      <c r="B36" s="11" t="s">
        <v>72</v>
      </c>
      <c r="C36" s="11" t="s">
        <v>129</v>
      </c>
      <c r="D36" s="11" t="s">
        <v>144</v>
      </c>
      <c r="E36" s="13" t="s">
        <v>145</v>
      </c>
      <c r="F36" s="11" t="s">
        <v>79</v>
      </c>
      <c r="G36" s="13" t="s">
        <v>133</v>
      </c>
      <c r="H36" s="12" t="s">
        <v>29</v>
      </c>
      <c r="I36" s="27" t="n">
        <v>46294</v>
      </c>
      <c r="J36" s="13"/>
    </row>
    <row r="37" customFormat="false" ht="23.85" hidden="false" customHeight="false" outlineLevel="0" collapsed="false">
      <c r="A37" s="12" t="n">
        <v>36</v>
      </c>
      <c r="B37" s="11" t="s">
        <v>72</v>
      </c>
      <c r="C37" s="11" t="s">
        <v>129</v>
      </c>
      <c r="D37" s="11" t="s">
        <v>146</v>
      </c>
      <c r="E37" s="13" t="s">
        <v>145</v>
      </c>
      <c r="F37" s="13" t="s">
        <v>87</v>
      </c>
      <c r="G37" s="13" t="s">
        <v>133</v>
      </c>
      <c r="H37" s="12" t="s">
        <v>29</v>
      </c>
      <c r="I37" s="27" t="n">
        <v>46294</v>
      </c>
      <c r="J37" s="13"/>
    </row>
    <row r="38" customFormat="false" ht="23.85" hidden="false" customHeight="false" outlineLevel="0" collapsed="false">
      <c r="A38" s="12" t="n">
        <v>37</v>
      </c>
      <c r="B38" s="11" t="s">
        <v>72</v>
      </c>
      <c r="C38" s="11" t="s">
        <v>129</v>
      </c>
      <c r="D38" s="11" t="s">
        <v>147</v>
      </c>
      <c r="E38" s="13" t="s">
        <v>131</v>
      </c>
      <c r="F38" s="11" t="s">
        <v>148</v>
      </c>
      <c r="G38" s="13" t="s">
        <v>149</v>
      </c>
      <c r="H38" s="12" t="s">
        <v>29</v>
      </c>
      <c r="I38" s="27" t="n">
        <v>46294</v>
      </c>
      <c r="J38" s="13"/>
    </row>
    <row r="39" customFormat="false" ht="29.85" hidden="false" customHeight="false" outlineLevel="0" collapsed="false">
      <c r="A39" s="12" t="n">
        <v>38</v>
      </c>
      <c r="B39" s="11" t="s">
        <v>72</v>
      </c>
      <c r="C39" s="11" t="s">
        <v>150</v>
      </c>
      <c r="D39" s="11" t="s">
        <v>151</v>
      </c>
      <c r="E39" s="13" t="s">
        <v>152</v>
      </c>
      <c r="F39" s="11" t="s">
        <v>79</v>
      </c>
      <c r="G39" s="13" t="s">
        <v>153</v>
      </c>
      <c r="H39" s="12" t="s">
        <v>29</v>
      </c>
      <c r="I39" s="27" t="n">
        <v>46294</v>
      </c>
      <c r="J39" s="13"/>
    </row>
    <row r="40" customFormat="false" ht="15" hidden="false" customHeight="false" outlineLevel="0" collapsed="false">
      <c r="A40" s="12" t="n">
        <v>39</v>
      </c>
      <c r="B40" s="11" t="s">
        <v>72</v>
      </c>
      <c r="C40" s="11" t="s">
        <v>150</v>
      </c>
      <c r="D40" s="11" t="s">
        <v>154</v>
      </c>
      <c r="E40" s="13" t="s">
        <v>155</v>
      </c>
      <c r="F40" s="11" t="s">
        <v>148</v>
      </c>
      <c r="G40" s="13" t="s">
        <v>153</v>
      </c>
      <c r="H40" s="12" t="s">
        <v>29</v>
      </c>
      <c r="I40" s="27" t="n">
        <v>46294</v>
      </c>
      <c r="J40" s="13"/>
    </row>
    <row r="41" customFormat="false" ht="15" hidden="false" customHeight="false" outlineLevel="0" collapsed="false">
      <c r="A41" s="12" t="n">
        <v>40</v>
      </c>
      <c r="B41" s="11" t="s">
        <v>72</v>
      </c>
      <c r="C41" s="11" t="s">
        <v>150</v>
      </c>
      <c r="D41" s="11" t="s">
        <v>156</v>
      </c>
      <c r="E41" s="13" t="s">
        <v>152</v>
      </c>
      <c r="F41" s="11" t="s">
        <v>85</v>
      </c>
      <c r="G41" s="13" t="s">
        <v>153</v>
      </c>
      <c r="H41" s="12" t="s">
        <v>29</v>
      </c>
      <c r="I41" s="27" t="n">
        <v>46294</v>
      </c>
      <c r="J41" s="13"/>
    </row>
    <row r="42" customFormat="false" ht="15" hidden="false" customHeight="false" outlineLevel="0" collapsed="false">
      <c r="A42" s="12" t="n">
        <v>41</v>
      </c>
      <c r="B42" s="11" t="s">
        <v>72</v>
      </c>
      <c r="C42" s="11" t="s">
        <v>150</v>
      </c>
      <c r="D42" s="11" t="s">
        <v>157</v>
      </c>
      <c r="E42" s="13" t="s">
        <v>155</v>
      </c>
      <c r="F42" s="11" t="s">
        <v>148</v>
      </c>
      <c r="G42" s="13" t="s">
        <v>153</v>
      </c>
      <c r="H42" s="12" t="s">
        <v>29</v>
      </c>
      <c r="I42" s="27" t="n">
        <v>46294</v>
      </c>
      <c r="J42" s="13"/>
    </row>
    <row r="43" customFormat="false" ht="15" hidden="false" customHeight="false" outlineLevel="0" collapsed="false">
      <c r="A43" s="12" t="n">
        <v>42</v>
      </c>
      <c r="B43" s="11" t="s">
        <v>72</v>
      </c>
      <c r="C43" s="11" t="s">
        <v>150</v>
      </c>
      <c r="D43" s="11" t="s">
        <v>158</v>
      </c>
      <c r="E43" s="13" t="s">
        <v>155</v>
      </c>
      <c r="F43" s="11" t="s">
        <v>159</v>
      </c>
      <c r="G43" s="13" t="s">
        <v>153</v>
      </c>
      <c r="H43" s="12" t="s">
        <v>29</v>
      </c>
      <c r="I43" s="27" t="n">
        <v>46294</v>
      </c>
      <c r="J43" s="13"/>
    </row>
    <row r="44" customFormat="false" ht="15" hidden="false" customHeight="false" outlineLevel="0" collapsed="false">
      <c r="A44" s="12" t="n">
        <v>43</v>
      </c>
      <c r="B44" s="11" t="s">
        <v>72</v>
      </c>
      <c r="C44" s="11" t="s">
        <v>150</v>
      </c>
      <c r="D44" s="11" t="s">
        <v>160</v>
      </c>
      <c r="E44" s="13" t="s">
        <v>155</v>
      </c>
      <c r="F44" s="11" t="s">
        <v>159</v>
      </c>
      <c r="G44" s="13" t="s">
        <v>153</v>
      </c>
      <c r="H44" s="12" t="s">
        <v>29</v>
      </c>
      <c r="I44" s="27" t="n">
        <v>46294</v>
      </c>
      <c r="J44" s="13"/>
    </row>
    <row r="45" customFormat="false" ht="15" hidden="false" customHeight="false" outlineLevel="0" collapsed="false">
      <c r="A45" s="12" t="n">
        <v>44</v>
      </c>
      <c r="B45" s="11" t="s">
        <v>72</v>
      </c>
      <c r="C45" s="11" t="s">
        <v>150</v>
      </c>
      <c r="D45" s="11" t="s">
        <v>161</v>
      </c>
      <c r="E45" s="13" t="s">
        <v>155</v>
      </c>
      <c r="F45" s="11" t="s">
        <v>162</v>
      </c>
      <c r="G45" s="13" t="s">
        <v>153</v>
      </c>
      <c r="H45" s="12" t="s">
        <v>29</v>
      </c>
      <c r="I45" s="27" t="n">
        <v>46294</v>
      </c>
      <c r="J45" s="13"/>
    </row>
    <row r="46" customFormat="false" ht="15" hidden="false" customHeight="false" outlineLevel="0" collapsed="false">
      <c r="A46" s="12" t="n">
        <v>45</v>
      </c>
      <c r="B46" s="11" t="s">
        <v>72</v>
      </c>
      <c r="C46" s="11" t="s">
        <v>150</v>
      </c>
      <c r="D46" s="11" t="s">
        <v>163</v>
      </c>
      <c r="E46" s="13" t="s">
        <v>155</v>
      </c>
      <c r="F46" s="11" t="s">
        <v>164</v>
      </c>
      <c r="G46" s="13" t="s">
        <v>153</v>
      </c>
      <c r="H46" s="12" t="s">
        <v>29</v>
      </c>
      <c r="I46" s="27" t="n">
        <v>46294</v>
      </c>
      <c r="J46" s="13"/>
    </row>
    <row r="47" customFormat="false" ht="15" hidden="false" customHeight="false" outlineLevel="0" collapsed="false">
      <c r="A47" s="12" t="n">
        <v>46</v>
      </c>
      <c r="B47" s="11" t="s">
        <v>165</v>
      </c>
      <c r="C47" s="11" t="s">
        <v>166</v>
      </c>
      <c r="D47" s="11" t="s">
        <v>167</v>
      </c>
      <c r="E47" s="13" t="s">
        <v>168</v>
      </c>
      <c r="F47" s="11" t="s">
        <v>76</v>
      </c>
      <c r="G47" s="13" t="s">
        <v>169</v>
      </c>
      <c r="H47" s="12" t="s">
        <v>29</v>
      </c>
      <c r="I47" s="27" t="n">
        <v>46294</v>
      </c>
      <c r="J47" s="13"/>
    </row>
    <row r="48" customFormat="false" ht="15" hidden="false" customHeight="false" outlineLevel="0" collapsed="false">
      <c r="A48" s="12" t="n">
        <v>47</v>
      </c>
      <c r="B48" s="11" t="s">
        <v>165</v>
      </c>
      <c r="C48" s="11" t="s">
        <v>166</v>
      </c>
      <c r="D48" s="11" t="s">
        <v>170</v>
      </c>
      <c r="E48" s="13" t="s">
        <v>171</v>
      </c>
      <c r="F48" s="11" t="s">
        <v>172</v>
      </c>
      <c r="G48" s="13" t="s">
        <v>169</v>
      </c>
      <c r="H48" s="12" t="s">
        <v>29</v>
      </c>
      <c r="I48" s="27" t="n">
        <v>46294</v>
      </c>
      <c r="J48" s="13"/>
    </row>
    <row r="49" customFormat="false" ht="15" hidden="false" customHeight="false" outlineLevel="0" collapsed="false">
      <c r="A49" s="12" t="n">
        <v>48</v>
      </c>
      <c r="B49" s="11" t="s">
        <v>165</v>
      </c>
      <c r="C49" s="11" t="s">
        <v>173</v>
      </c>
      <c r="D49" s="11" t="s">
        <v>174</v>
      </c>
      <c r="E49" s="13" t="s">
        <v>175</v>
      </c>
      <c r="F49" s="11" t="s">
        <v>76</v>
      </c>
      <c r="G49" s="13" t="s">
        <v>176</v>
      </c>
      <c r="H49" s="12" t="s">
        <v>29</v>
      </c>
      <c r="I49" s="27" t="n">
        <v>46294</v>
      </c>
      <c r="J49" s="13"/>
    </row>
    <row r="50" customFormat="false" ht="15" hidden="false" customHeight="false" outlineLevel="0" collapsed="false">
      <c r="A50" s="12" t="n">
        <v>49</v>
      </c>
      <c r="B50" s="11" t="s">
        <v>165</v>
      </c>
      <c r="C50" s="11" t="s">
        <v>173</v>
      </c>
      <c r="D50" s="11" t="s">
        <v>177</v>
      </c>
      <c r="E50" s="13" t="s">
        <v>178</v>
      </c>
      <c r="F50" s="11" t="s">
        <v>172</v>
      </c>
      <c r="G50" s="13" t="s">
        <v>176</v>
      </c>
      <c r="H50" s="12" t="s">
        <v>29</v>
      </c>
      <c r="I50" s="27" t="n">
        <v>46294</v>
      </c>
      <c r="J50" s="13"/>
    </row>
    <row r="51" customFormat="false" ht="15" hidden="false" customHeight="false" outlineLevel="0" collapsed="false">
      <c r="A51" s="12" t="n">
        <v>50</v>
      </c>
      <c r="B51" s="11" t="s">
        <v>165</v>
      </c>
      <c r="C51" s="11" t="s">
        <v>173</v>
      </c>
      <c r="D51" s="11" t="s">
        <v>179</v>
      </c>
      <c r="E51" s="13" t="s">
        <v>178</v>
      </c>
      <c r="F51" s="11" t="s">
        <v>180</v>
      </c>
      <c r="G51" s="13" t="s">
        <v>176</v>
      </c>
      <c r="H51" s="12" t="s">
        <v>29</v>
      </c>
      <c r="I51" s="27" t="n">
        <v>46294</v>
      </c>
      <c r="J51" s="13"/>
    </row>
    <row r="52" customFormat="false" ht="15" hidden="false" customHeight="false" outlineLevel="0" collapsed="false">
      <c r="A52" s="12" t="n">
        <v>51</v>
      </c>
      <c r="B52" s="11" t="s">
        <v>165</v>
      </c>
      <c r="C52" s="11" t="s">
        <v>173</v>
      </c>
      <c r="D52" s="11" t="s">
        <v>181</v>
      </c>
      <c r="E52" s="13" t="s">
        <v>182</v>
      </c>
      <c r="F52" s="11" t="s">
        <v>172</v>
      </c>
      <c r="G52" s="13" t="s">
        <v>176</v>
      </c>
      <c r="H52" s="12" t="s">
        <v>29</v>
      </c>
      <c r="I52" s="27" t="n">
        <v>46294</v>
      </c>
      <c r="J52" s="13"/>
    </row>
    <row r="53" customFormat="false" ht="15" hidden="false" customHeight="false" outlineLevel="0" collapsed="false">
      <c r="A53" s="12" t="n">
        <v>52</v>
      </c>
      <c r="B53" s="11" t="s">
        <v>165</v>
      </c>
      <c r="C53" s="11" t="s">
        <v>173</v>
      </c>
      <c r="D53" s="11" t="s">
        <v>183</v>
      </c>
      <c r="E53" s="13" t="s">
        <v>178</v>
      </c>
      <c r="F53" s="11" t="s">
        <v>184</v>
      </c>
      <c r="G53" s="13" t="s">
        <v>176</v>
      </c>
      <c r="H53" s="12" t="s">
        <v>29</v>
      </c>
      <c r="I53" s="27" t="n">
        <v>46294</v>
      </c>
      <c r="J53" s="13"/>
    </row>
    <row r="54" customFormat="false" ht="15" hidden="false" customHeight="false" outlineLevel="0" collapsed="false">
      <c r="A54" s="12" t="n">
        <v>53</v>
      </c>
      <c r="B54" s="11" t="s">
        <v>165</v>
      </c>
      <c r="C54" s="11" t="s">
        <v>173</v>
      </c>
      <c r="D54" s="11" t="s">
        <v>185</v>
      </c>
      <c r="E54" s="13" t="s">
        <v>178</v>
      </c>
      <c r="F54" s="11" t="s">
        <v>186</v>
      </c>
      <c r="G54" s="13" t="s">
        <v>176</v>
      </c>
      <c r="H54" s="12" t="s">
        <v>29</v>
      </c>
      <c r="I54" s="27" t="n">
        <v>46294</v>
      </c>
      <c r="J54" s="13"/>
    </row>
    <row r="55" customFormat="false" ht="15" hidden="false" customHeight="false" outlineLevel="0" collapsed="false">
      <c r="A55" s="12" t="n">
        <v>54</v>
      </c>
      <c r="B55" s="11" t="s">
        <v>165</v>
      </c>
      <c r="C55" s="11" t="s">
        <v>187</v>
      </c>
      <c r="D55" s="11" t="s">
        <v>188</v>
      </c>
      <c r="E55" s="13" t="s">
        <v>189</v>
      </c>
      <c r="F55" s="11" t="s">
        <v>76</v>
      </c>
      <c r="G55" s="13" t="s">
        <v>190</v>
      </c>
      <c r="H55" s="12" t="s">
        <v>29</v>
      </c>
      <c r="I55" s="27" t="n">
        <v>46294</v>
      </c>
      <c r="J55" s="13"/>
    </row>
    <row r="56" customFormat="false" ht="15" hidden="false" customHeight="false" outlineLevel="0" collapsed="false">
      <c r="A56" s="12" t="n">
        <v>55</v>
      </c>
      <c r="B56" s="11" t="s">
        <v>165</v>
      </c>
      <c r="C56" s="11" t="s">
        <v>187</v>
      </c>
      <c r="D56" s="11" t="s">
        <v>191</v>
      </c>
      <c r="E56" s="13" t="s">
        <v>192</v>
      </c>
      <c r="F56" s="11" t="s">
        <v>193</v>
      </c>
      <c r="G56" s="13" t="s">
        <v>190</v>
      </c>
      <c r="H56" s="12" t="s">
        <v>29</v>
      </c>
      <c r="I56" s="27" t="n">
        <v>46294</v>
      </c>
      <c r="J56" s="13"/>
    </row>
    <row r="57" customFormat="false" ht="15" hidden="false" customHeight="false" outlineLevel="0" collapsed="false">
      <c r="A57" s="12" t="n">
        <v>56</v>
      </c>
      <c r="B57" s="11" t="s">
        <v>165</v>
      </c>
      <c r="C57" s="11" t="s">
        <v>187</v>
      </c>
      <c r="D57" s="11" t="s">
        <v>194</v>
      </c>
      <c r="E57" s="13" t="s">
        <v>192</v>
      </c>
      <c r="F57" s="11" t="s">
        <v>162</v>
      </c>
      <c r="G57" s="13" t="s">
        <v>190</v>
      </c>
      <c r="H57" s="12" t="s">
        <v>29</v>
      </c>
      <c r="I57" s="27" t="n">
        <v>46294</v>
      </c>
      <c r="J57" s="13"/>
    </row>
    <row r="58" customFormat="false" ht="15" hidden="false" customHeight="false" outlineLevel="0" collapsed="false">
      <c r="A58" s="12" t="n">
        <v>57</v>
      </c>
      <c r="B58" s="11" t="s">
        <v>165</v>
      </c>
      <c r="C58" s="11" t="s">
        <v>187</v>
      </c>
      <c r="D58" s="11" t="s">
        <v>195</v>
      </c>
      <c r="E58" s="13" t="s">
        <v>189</v>
      </c>
      <c r="F58" s="11" t="s">
        <v>143</v>
      </c>
      <c r="G58" s="13" t="s">
        <v>190</v>
      </c>
      <c r="H58" s="12" t="s">
        <v>29</v>
      </c>
      <c r="I58" s="27" t="n">
        <v>46294</v>
      </c>
      <c r="J58" s="13"/>
    </row>
    <row r="59" customFormat="false" ht="15" hidden="false" customHeight="false" outlineLevel="0" collapsed="false">
      <c r="A59" s="12" t="n">
        <v>58</v>
      </c>
      <c r="B59" s="11" t="s">
        <v>165</v>
      </c>
      <c r="C59" s="11" t="s">
        <v>187</v>
      </c>
      <c r="D59" s="11" t="s">
        <v>196</v>
      </c>
      <c r="E59" s="13" t="s">
        <v>192</v>
      </c>
      <c r="F59" s="11" t="s">
        <v>193</v>
      </c>
      <c r="G59" s="13" t="s">
        <v>190</v>
      </c>
      <c r="H59" s="12" t="s">
        <v>29</v>
      </c>
      <c r="I59" s="27" t="n">
        <v>46294</v>
      </c>
      <c r="J59" s="13"/>
    </row>
    <row r="60" customFormat="false" ht="29.85" hidden="false" customHeight="false" outlineLevel="0" collapsed="false">
      <c r="A60" s="12" t="n">
        <v>59</v>
      </c>
      <c r="B60" s="11" t="s">
        <v>165</v>
      </c>
      <c r="C60" s="11" t="s">
        <v>187</v>
      </c>
      <c r="D60" s="11" t="s">
        <v>197</v>
      </c>
      <c r="E60" s="13" t="s">
        <v>198</v>
      </c>
      <c r="F60" s="11" t="s">
        <v>199</v>
      </c>
      <c r="G60" s="13" t="s">
        <v>190</v>
      </c>
      <c r="H60" s="12" t="s">
        <v>29</v>
      </c>
      <c r="I60" s="27" t="n">
        <v>46294</v>
      </c>
      <c r="J60" s="13"/>
    </row>
    <row r="61" customFormat="false" ht="15" hidden="false" customHeight="false" outlineLevel="0" collapsed="false">
      <c r="A61" s="12" t="n">
        <v>60</v>
      </c>
      <c r="B61" s="11" t="s">
        <v>165</v>
      </c>
      <c r="C61" s="11" t="s">
        <v>187</v>
      </c>
      <c r="D61" s="11" t="s">
        <v>200</v>
      </c>
      <c r="E61" s="13" t="s">
        <v>198</v>
      </c>
      <c r="F61" s="11" t="s">
        <v>201</v>
      </c>
      <c r="G61" s="13" t="s">
        <v>190</v>
      </c>
      <c r="H61" s="12" t="s">
        <v>29</v>
      </c>
      <c r="I61" s="27" t="n">
        <v>46294</v>
      </c>
      <c r="J61" s="13"/>
    </row>
    <row r="62" customFormat="false" ht="23.85" hidden="false" customHeight="false" outlineLevel="0" collapsed="false">
      <c r="A62" s="12" t="n">
        <v>61</v>
      </c>
      <c r="B62" s="11" t="s">
        <v>165</v>
      </c>
      <c r="C62" s="11" t="s">
        <v>202</v>
      </c>
      <c r="D62" s="11" t="s">
        <v>203</v>
      </c>
      <c r="E62" s="13" t="s">
        <v>204</v>
      </c>
      <c r="F62" s="11" t="s">
        <v>76</v>
      </c>
      <c r="G62" s="13" t="s">
        <v>205</v>
      </c>
      <c r="H62" s="12" t="s">
        <v>29</v>
      </c>
      <c r="I62" s="27" t="n">
        <v>46294</v>
      </c>
      <c r="J62" s="13"/>
    </row>
    <row r="63" customFormat="false" ht="23.85" hidden="false" customHeight="false" outlineLevel="0" collapsed="false">
      <c r="A63" s="12" t="n">
        <v>62</v>
      </c>
      <c r="B63" s="11" t="s">
        <v>165</v>
      </c>
      <c r="C63" s="11" t="s">
        <v>202</v>
      </c>
      <c r="D63" s="11" t="s">
        <v>206</v>
      </c>
      <c r="E63" s="13" t="s">
        <v>207</v>
      </c>
      <c r="F63" s="11" t="s">
        <v>143</v>
      </c>
      <c r="G63" s="13" t="s">
        <v>205</v>
      </c>
      <c r="H63" s="12" t="s">
        <v>29</v>
      </c>
      <c r="I63" s="27" t="n">
        <v>46294</v>
      </c>
      <c r="J63" s="13"/>
    </row>
    <row r="64" customFormat="false" ht="23.85" hidden="false" customHeight="false" outlineLevel="0" collapsed="false">
      <c r="A64" s="12" t="n">
        <v>63</v>
      </c>
      <c r="B64" s="11" t="s">
        <v>165</v>
      </c>
      <c r="C64" s="11" t="s">
        <v>202</v>
      </c>
      <c r="D64" s="11" t="s">
        <v>208</v>
      </c>
      <c r="E64" s="13" t="s">
        <v>207</v>
      </c>
      <c r="F64" s="11" t="s">
        <v>122</v>
      </c>
      <c r="G64" s="13" t="s">
        <v>205</v>
      </c>
      <c r="H64" s="12" t="s">
        <v>29</v>
      </c>
      <c r="I64" s="27" t="n">
        <v>46294</v>
      </c>
      <c r="J64" s="13"/>
    </row>
    <row r="65" customFormat="false" ht="15" hidden="false" customHeight="false" outlineLevel="0" collapsed="false">
      <c r="A65" s="12" t="n">
        <v>64</v>
      </c>
      <c r="B65" s="11" t="s">
        <v>165</v>
      </c>
      <c r="C65" s="11" t="s">
        <v>209</v>
      </c>
      <c r="D65" s="11" t="s">
        <v>210</v>
      </c>
      <c r="E65" s="13" t="s">
        <v>211</v>
      </c>
      <c r="F65" s="11" t="s">
        <v>76</v>
      </c>
      <c r="G65" s="13" t="s">
        <v>212</v>
      </c>
      <c r="H65" s="12" t="s">
        <v>29</v>
      </c>
      <c r="I65" s="27" t="n">
        <v>46294</v>
      </c>
      <c r="J65" s="13"/>
    </row>
    <row r="66" customFormat="false" ht="15" hidden="false" customHeight="false" outlineLevel="0" collapsed="false">
      <c r="A66" s="12" t="n">
        <v>65</v>
      </c>
      <c r="B66" s="11" t="s">
        <v>165</v>
      </c>
      <c r="C66" s="11" t="s">
        <v>209</v>
      </c>
      <c r="D66" s="11" t="s">
        <v>213</v>
      </c>
      <c r="E66" s="13" t="s">
        <v>214</v>
      </c>
      <c r="F66" s="11" t="s">
        <v>215</v>
      </c>
      <c r="G66" s="13" t="s">
        <v>212</v>
      </c>
      <c r="H66" s="12" t="s">
        <v>29</v>
      </c>
      <c r="I66" s="27" t="n">
        <v>46294</v>
      </c>
      <c r="J66" s="13"/>
    </row>
    <row r="67" customFormat="false" ht="23.85" hidden="false" customHeight="false" outlineLevel="0" collapsed="false">
      <c r="A67" s="12" t="n">
        <v>66</v>
      </c>
      <c r="B67" s="11" t="s">
        <v>165</v>
      </c>
      <c r="C67" s="11" t="s">
        <v>209</v>
      </c>
      <c r="D67" s="11" t="s">
        <v>216</v>
      </c>
      <c r="E67" s="13" t="s">
        <v>217</v>
      </c>
      <c r="F67" s="11" t="s">
        <v>218</v>
      </c>
      <c r="G67" s="13" t="s">
        <v>212</v>
      </c>
      <c r="H67" s="12" t="s">
        <v>29</v>
      </c>
      <c r="I67" s="27" t="n">
        <v>46294</v>
      </c>
      <c r="J67" s="13"/>
    </row>
    <row r="68" customFormat="false" ht="23.85" hidden="false" customHeight="false" outlineLevel="0" collapsed="false">
      <c r="A68" s="12" t="n">
        <v>67</v>
      </c>
      <c r="B68" s="11" t="s">
        <v>165</v>
      </c>
      <c r="C68" s="11" t="s">
        <v>209</v>
      </c>
      <c r="D68" s="11" t="s">
        <v>219</v>
      </c>
      <c r="E68" s="13" t="s">
        <v>220</v>
      </c>
      <c r="F68" s="11" t="s">
        <v>201</v>
      </c>
      <c r="G68" s="13" t="s">
        <v>212</v>
      </c>
      <c r="H68" s="12" t="s">
        <v>29</v>
      </c>
      <c r="I68" s="27" t="n">
        <v>46294</v>
      </c>
      <c r="J68" s="13"/>
    </row>
    <row r="69" customFormat="false" ht="15" hidden="false" customHeight="false" outlineLevel="0" collapsed="false">
      <c r="A69" s="12" t="n">
        <v>68</v>
      </c>
      <c r="B69" s="11" t="s">
        <v>165</v>
      </c>
      <c r="C69" s="11" t="s">
        <v>209</v>
      </c>
      <c r="D69" s="11" t="s">
        <v>221</v>
      </c>
      <c r="E69" s="13" t="s">
        <v>214</v>
      </c>
      <c r="F69" s="11" t="s">
        <v>222</v>
      </c>
      <c r="G69" s="13" t="s">
        <v>212</v>
      </c>
      <c r="H69" s="12" t="s">
        <v>29</v>
      </c>
      <c r="I69" s="27" t="n">
        <v>46294</v>
      </c>
      <c r="J69" s="13"/>
    </row>
    <row r="70" customFormat="false" ht="15" hidden="false" customHeight="false" outlineLevel="0" collapsed="false">
      <c r="A70" s="12" t="n">
        <v>69</v>
      </c>
      <c r="B70" s="11" t="s">
        <v>165</v>
      </c>
      <c r="C70" s="11" t="s">
        <v>209</v>
      </c>
      <c r="D70" s="11" t="s">
        <v>223</v>
      </c>
      <c r="E70" s="13" t="s">
        <v>224</v>
      </c>
      <c r="F70" s="11" t="s">
        <v>225</v>
      </c>
      <c r="G70" s="13" t="s">
        <v>212</v>
      </c>
      <c r="H70" s="12" t="s">
        <v>29</v>
      </c>
      <c r="I70" s="27" t="n">
        <v>46294</v>
      </c>
      <c r="J70" s="13"/>
    </row>
    <row r="71" customFormat="false" ht="15" hidden="false" customHeight="false" outlineLevel="0" collapsed="false">
      <c r="A71" s="12" t="n">
        <v>70</v>
      </c>
      <c r="B71" s="11" t="s">
        <v>165</v>
      </c>
      <c r="C71" s="11" t="s">
        <v>226</v>
      </c>
      <c r="D71" s="11" t="s">
        <v>227</v>
      </c>
      <c r="E71" s="13" t="s">
        <v>228</v>
      </c>
      <c r="F71" s="11" t="s">
        <v>229</v>
      </c>
      <c r="G71" s="13" t="s">
        <v>230</v>
      </c>
      <c r="H71" s="12" t="s">
        <v>29</v>
      </c>
      <c r="I71" s="27" t="n">
        <v>46294</v>
      </c>
      <c r="J71" s="13"/>
    </row>
    <row r="72" customFormat="false" ht="15" hidden="false" customHeight="false" outlineLevel="0" collapsed="false">
      <c r="A72" s="12" t="n">
        <v>71</v>
      </c>
      <c r="B72" s="11" t="s">
        <v>165</v>
      </c>
      <c r="C72" s="11" t="s">
        <v>226</v>
      </c>
      <c r="D72" s="11" t="s">
        <v>231</v>
      </c>
      <c r="E72" s="13" t="s">
        <v>228</v>
      </c>
      <c r="F72" s="11" t="s">
        <v>232</v>
      </c>
      <c r="G72" s="13" t="s">
        <v>230</v>
      </c>
      <c r="H72" s="12" t="s">
        <v>29</v>
      </c>
      <c r="I72" s="27" t="n">
        <v>46294</v>
      </c>
      <c r="J72" s="13"/>
    </row>
    <row r="73" customFormat="false" ht="15" hidden="false" customHeight="false" outlineLevel="0" collapsed="false">
      <c r="A73" s="12" t="n">
        <v>72</v>
      </c>
      <c r="B73" s="11" t="s">
        <v>165</v>
      </c>
      <c r="C73" s="11" t="s">
        <v>233</v>
      </c>
      <c r="D73" s="11" t="s">
        <v>234</v>
      </c>
      <c r="E73" s="13" t="s">
        <v>235</v>
      </c>
      <c r="F73" s="11" t="s">
        <v>76</v>
      </c>
      <c r="G73" s="13" t="s">
        <v>236</v>
      </c>
      <c r="H73" s="12" t="s">
        <v>29</v>
      </c>
      <c r="I73" s="27" t="n">
        <v>46294</v>
      </c>
      <c r="J73" s="13"/>
    </row>
    <row r="74" customFormat="false" ht="15" hidden="false" customHeight="false" outlineLevel="0" collapsed="false">
      <c r="A74" s="12" t="n">
        <v>73</v>
      </c>
      <c r="B74" s="11" t="s">
        <v>165</v>
      </c>
      <c r="C74" s="11" t="s">
        <v>233</v>
      </c>
      <c r="D74" s="11" t="s">
        <v>237</v>
      </c>
      <c r="E74" s="13" t="s">
        <v>238</v>
      </c>
      <c r="F74" s="11" t="s">
        <v>143</v>
      </c>
      <c r="G74" s="13" t="s">
        <v>236</v>
      </c>
      <c r="H74" s="12" t="s">
        <v>29</v>
      </c>
      <c r="I74" s="27" t="n">
        <v>46294</v>
      </c>
      <c r="J74" s="13"/>
    </row>
    <row r="75" customFormat="false" ht="15" hidden="false" customHeight="false" outlineLevel="0" collapsed="false">
      <c r="A75" s="12" t="n">
        <v>74</v>
      </c>
      <c r="B75" s="11" t="s">
        <v>165</v>
      </c>
      <c r="C75" s="11" t="s">
        <v>233</v>
      </c>
      <c r="D75" s="11" t="s">
        <v>239</v>
      </c>
      <c r="E75" s="13" t="s">
        <v>238</v>
      </c>
      <c r="F75" s="11" t="s">
        <v>143</v>
      </c>
      <c r="G75" s="13" t="s">
        <v>236</v>
      </c>
      <c r="H75" s="12" t="s">
        <v>29</v>
      </c>
      <c r="I75" s="27" t="n">
        <v>46294</v>
      </c>
      <c r="J75" s="13"/>
    </row>
    <row r="76" customFormat="false" ht="15" hidden="false" customHeight="false" outlineLevel="0" collapsed="false">
      <c r="A76" s="12" t="n">
        <v>75</v>
      </c>
      <c r="B76" s="11" t="s">
        <v>165</v>
      </c>
      <c r="C76" s="11" t="s">
        <v>233</v>
      </c>
      <c r="D76" s="11" t="s">
        <v>240</v>
      </c>
      <c r="E76" s="13" t="s">
        <v>241</v>
      </c>
      <c r="F76" s="11" t="s">
        <v>172</v>
      </c>
      <c r="G76" s="13" t="s">
        <v>236</v>
      </c>
      <c r="H76" s="12" t="s">
        <v>29</v>
      </c>
      <c r="I76" s="27" t="n">
        <v>46294</v>
      </c>
      <c r="J76" s="13"/>
    </row>
    <row r="77" customFormat="false" ht="15" hidden="false" customHeight="false" outlineLevel="0" collapsed="false">
      <c r="A77" s="12" t="n">
        <v>76</v>
      </c>
      <c r="B77" s="11" t="s">
        <v>165</v>
      </c>
      <c r="C77" s="11" t="s">
        <v>233</v>
      </c>
      <c r="D77" s="11" t="s">
        <v>242</v>
      </c>
      <c r="E77" s="13" t="s">
        <v>241</v>
      </c>
      <c r="F77" s="11" t="s">
        <v>232</v>
      </c>
      <c r="G77" s="13" t="s">
        <v>236</v>
      </c>
      <c r="H77" s="12" t="s">
        <v>29</v>
      </c>
      <c r="I77" s="27" t="n">
        <v>46294</v>
      </c>
      <c r="J77" s="13"/>
    </row>
    <row r="78" customFormat="false" ht="15" hidden="false" customHeight="false" outlineLevel="0" collapsed="false">
      <c r="A78" s="12" t="n">
        <v>77</v>
      </c>
      <c r="B78" s="11" t="s">
        <v>165</v>
      </c>
      <c r="C78" s="11" t="s">
        <v>233</v>
      </c>
      <c r="D78" s="11" t="s">
        <v>243</v>
      </c>
      <c r="E78" s="13" t="s">
        <v>244</v>
      </c>
      <c r="F78" s="11" t="s">
        <v>245</v>
      </c>
      <c r="G78" s="13" t="s">
        <v>236</v>
      </c>
      <c r="H78" s="12" t="s">
        <v>29</v>
      </c>
      <c r="I78" s="27" t="n">
        <v>46294</v>
      </c>
      <c r="J78" s="13"/>
    </row>
    <row r="79" customFormat="false" ht="29.85" hidden="false" customHeight="false" outlineLevel="0" collapsed="false">
      <c r="A79" s="12" t="n">
        <v>78</v>
      </c>
      <c r="B79" s="11" t="s">
        <v>246</v>
      </c>
      <c r="C79" s="11" t="s">
        <v>247</v>
      </c>
      <c r="D79" s="11" t="s">
        <v>248</v>
      </c>
      <c r="E79" s="13" t="s">
        <v>249</v>
      </c>
      <c r="F79" s="11" t="s">
        <v>79</v>
      </c>
      <c r="G79" s="13" t="s">
        <v>250</v>
      </c>
      <c r="H79" s="12" t="s">
        <v>29</v>
      </c>
      <c r="I79" s="27" t="n">
        <v>46294</v>
      </c>
      <c r="J79" s="13"/>
    </row>
    <row r="80" customFormat="false" ht="15" hidden="false" customHeight="false" outlineLevel="0" collapsed="false">
      <c r="A80" s="12" t="n">
        <v>79</v>
      </c>
      <c r="B80" s="11" t="s">
        <v>246</v>
      </c>
      <c r="C80" s="11" t="s">
        <v>247</v>
      </c>
      <c r="D80" s="11" t="s">
        <v>251</v>
      </c>
      <c r="E80" s="13" t="s">
        <v>252</v>
      </c>
      <c r="F80" s="11" t="s">
        <v>180</v>
      </c>
      <c r="G80" s="13" t="s">
        <v>250</v>
      </c>
      <c r="H80" s="12" t="s">
        <v>29</v>
      </c>
      <c r="I80" s="27" t="n">
        <v>46294</v>
      </c>
      <c r="J80" s="13"/>
    </row>
    <row r="81" customFormat="false" ht="15" hidden="false" customHeight="false" outlineLevel="0" collapsed="false">
      <c r="A81" s="12" t="n">
        <v>80</v>
      </c>
      <c r="B81" s="11" t="s">
        <v>246</v>
      </c>
      <c r="C81" s="11" t="s">
        <v>247</v>
      </c>
      <c r="D81" s="11" t="s">
        <v>253</v>
      </c>
      <c r="E81" s="13" t="s">
        <v>252</v>
      </c>
      <c r="F81" s="11" t="s">
        <v>254</v>
      </c>
      <c r="G81" s="13" t="s">
        <v>250</v>
      </c>
      <c r="H81" s="12" t="s">
        <v>29</v>
      </c>
      <c r="I81" s="27" t="n">
        <v>46294</v>
      </c>
      <c r="J81" s="13"/>
    </row>
    <row r="82" customFormat="false" ht="15" hidden="false" customHeight="false" outlineLevel="0" collapsed="false">
      <c r="A82" s="12" t="n">
        <v>81</v>
      </c>
      <c r="B82" s="11" t="s">
        <v>246</v>
      </c>
      <c r="C82" s="11" t="s">
        <v>247</v>
      </c>
      <c r="D82" s="11" t="s">
        <v>255</v>
      </c>
      <c r="E82" s="13" t="s">
        <v>252</v>
      </c>
      <c r="F82" s="11" t="s">
        <v>159</v>
      </c>
      <c r="G82" s="13" t="s">
        <v>250</v>
      </c>
      <c r="H82" s="12" t="s">
        <v>29</v>
      </c>
      <c r="I82" s="27" t="n">
        <v>46294</v>
      </c>
      <c r="J82" s="13"/>
    </row>
    <row r="83" customFormat="false" ht="35.05" hidden="false" customHeight="false" outlineLevel="0" collapsed="false">
      <c r="A83" s="12" t="n">
        <v>82</v>
      </c>
      <c r="B83" s="11" t="s">
        <v>246</v>
      </c>
      <c r="C83" s="11" t="s">
        <v>247</v>
      </c>
      <c r="D83" s="11" t="s">
        <v>256</v>
      </c>
      <c r="E83" s="13" t="s">
        <v>257</v>
      </c>
      <c r="F83" s="11" t="s">
        <v>258</v>
      </c>
      <c r="G83" s="13" t="s">
        <v>250</v>
      </c>
      <c r="H83" s="12" t="s">
        <v>29</v>
      </c>
      <c r="I83" s="27" t="n">
        <v>46294</v>
      </c>
      <c r="J83" s="13"/>
    </row>
    <row r="84" customFormat="false" ht="23.85" hidden="false" customHeight="false" outlineLevel="0" collapsed="false">
      <c r="A84" s="12" t="n">
        <v>83</v>
      </c>
      <c r="B84" s="11" t="s">
        <v>246</v>
      </c>
      <c r="C84" s="11" t="s">
        <v>247</v>
      </c>
      <c r="D84" s="11" t="s">
        <v>259</v>
      </c>
      <c r="E84" s="13" t="s">
        <v>260</v>
      </c>
      <c r="F84" s="11" t="s">
        <v>184</v>
      </c>
      <c r="G84" s="13" t="s">
        <v>250</v>
      </c>
      <c r="H84" s="12" t="s">
        <v>29</v>
      </c>
      <c r="I84" s="27" t="n">
        <v>46294</v>
      </c>
      <c r="J84" s="13"/>
    </row>
    <row r="85" customFormat="false" ht="23.85" hidden="false" customHeight="false" outlineLevel="0" collapsed="false">
      <c r="A85" s="12" t="n">
        <v>84</v>
      </c>
      <c r="B85" s="11" t="s">
        <v>246</v>
      </c>
      <c r="C85" s="11" t="s">
        <v>247</v>
      </c>
      <c r="D85" s="11" t="s">
        <v>261</v>
      </c>
      <c r="E85" s="13" t="s">
        <v>260</v>
      </c>
      <c r="F85" s="11" t="s">
        <v>184</v>
      </c>
      <c r="G85" s="13" t="s">
        <v>250</v>
      </c>
      <c r="H85" s="12" t="s">
        <v>29</v>
      </c>
      <c r="I85" s="27" t="n">
        <v>46294</v>
      </c>
      <c r="J85" s="13"/>
    </row>
    <row r="86" customFormat="false" ht="35.05" hidden="false" customHeight="false" outlineLevel="0" collapsed="false">
      <c r="A86" s="12" t="n">
        <v>85</v>
      </c>
      <c r="B86" s="11" t="s">
        <v>246</v>
      </c>
      <c r="C86" s="11" t="s">
        <v>247</v>
      </c>
      <c r="D86" s="11" t="s">
        <v>262</v>
      </c>
      <c r="E86" s="13" t="s">
        <v>263</v>
      </c>
      <c r="F86" s="11" t="s">
        <v>184</v>
      </c>
      <c r="G86" s="13" t="s">
        <v>250</v>
      </c>
      <c r="H86" s="12" t="s">
        <v>29</v>
      </c>
      <c r="I86" s="27" t="n">
        <v>46294</v>
      </c>
      <c r="J86" s="13"/>
    </row>
    <row r="87" customFormat="false" ht="23.85" hidden="false" customHeight="false" outlineLevel="0" collapsed="false">
      <c r="A87" s="12" t="n">
        <v>86</v>
      </c>
      <c r="B87" s="11" t="s">
        <v>246</v>
      </c>
      <c r="C87" s="11" t="s">
        <v>247</v>
      </c>
      <c r="D87" s="11" t="s">
        <v>264</v>
      </c>
      <c r="E87" s="13" t="s">
        <v>260</v>
      </c>
      <c r="F87" s="11" t="s">
        <v>122</v>
      </c>
      <c r="G87" s="13" t="s">
        <v>250</v>
      </c>
      <c r="H87" s="12" t="s">
        <v>29</v>
      </c>
      <c r="I87" s="27" t="n">
        <v>46294</v>
      </c>
      <c r="J87" s="13"/>
    </row>
    <row r="88" customFormat="false" ht="35.05" hidden="false" customHeight="false" outlineLevel="0" collapsed="false">
      <c r="A88" s="12" t="n">
        <v>87</v>
      </c>
      <c r="B88" s="11" t="s">
        <v>246</v>
      </c>
      <c r="C88" s="11" t="s">
        <v>247</v>
      </c>
      <c r="D88" s="11" t="s">
        <v>265</v>
      </c>
      <c r="E88" s="13" t="s">
        <v>266</v>
      </c>
      <c r="F88" s="11" t="s">
        <v>143</v>
      </c>
      <c r="G88" s="13" t="s">
        <v>250</v>
      </c>
      <c r="H88" s="12" t="s">
        <v>29</v>
      </c>
      <c r="I88" s="27" t="n">
        <v>46294</v>
      </c>
      <c r="J88" s="13"/>
    </row>
    <row r="89" customFormat="false" ht="15" hidden="false" customHeight="false" outlineLevel="0" collapsed="false">
      <c r="A89" s="12" t="n">
        <v>88</v>
      </c>
      <c r="B89" s="11" t="s">
        <v>246</v>
      </c>
      <c r="C89" s="11" t="s">
        <v>247</v>
      </c>
      <c r="D89" s="11" t="s">
        <v>267</v>
      </c>
      <c r="E89" s="13" t="s">
        <v>268</v>
      </c>
      <c r="F89" s="11" t="s">
        <v>143</v>
      </c>
      <c r="G89" s="13" t="s">
        <v>250</v>
      </c>
      <c r="H89" s="12" t="s">
        <v>29</v>
      </c>
      <c r="I89" s="27" t="n">
        <v>46294</v>
      </c>
      <c r="J89" s="13"/>
    </row>
    <row r="90" customFormat="false" ht="35.05" hidden="false" customHeight="false" outlineLevel="0" collapsed="false">
      <c r="A90" s="12" t="n">
        <v>89</v>
      </c>
      <c r="B90" s="11" t="s">
        <v>246</v>
      </c>
      <c r="C90" s="11" t="s">
        <v>247</v>
      </c>
      <c r="D90" s="11" t="s">
        <v>269</v>
      </c>
      <c r="E90" s="13" t="s">
        <v>270</v>
      </c>
      <c r="F90" s="11" t="s">
        <v>271</v>
      </c>
      <c r="G90" s="13" t="s">
        <v>250</v>
      </c>
      <c r="H90" s="12" t="s">
        <v>29</v>
      </c>
      <c r="I90" s="27" t="n">
        <v>46294</v>
      </c>
      <c r="J90" s="13"/>
    </row>
    <row r="91" customFormat="false" ht="15" hidden="false" customHeight="false" outlineLevel="0" collapsed="false">
      <c r="A91" s="12" t="n">
        <v>90</v>
      </c>
      <c r="B91" s="11" t="s">
        <v>246</v>
      </c>
      <c r="C91" s="11" t="s">
        <v>247</v>
      </c>
      <c r="D91" s="11" t="s">
        <v>181</v>
      </c>
      <c r="E91" s="13" t="s">
        <v>272</v>
      </c>
      <c r="F91" s="11" t="s">
        <v>172</v>
      </c>
      <c r="G91" s="13" t="s">
        <v>250</v>
      </c>
      <c r="H91" s="12" t="s">
        <v>29</v>
      </c>
      <c r="I91" s="27" t="n">
        <v>46294</v>
      </c>
      <c r="J91" s="13"/>
    </row>
    <row r="92" customFormat="false" ht="15" hidden="false" customHeight="false" outlineLevel="0" collapsed="false">
      <c r="A92" s="12" t="n">
        <v>91</v>
      </c>
      <c r="B92" s="11" t="s">
        <v>246</v>
      </c>
      <c r="C92" s="11" t="s">
        <v>247</v>
      </c>
      <c r="D92" s="11" t="s">
        <v>273</v>
      </c>
      <c r="E92" s="13" t="s">
        <v>274</v>
      </c>
      <c r="F92" s="11" t="s">
        <v>143</v>
      </c>
      <c r="G92" s="13" t="s">
        <v>250</v>
      </c>
      <c r="H92" s="12" t="s">
        <v>29</v>
      </c>
      <c r="I92" s="27" t="n">
        <v>46294</v>
      </c>
      <c r="J92" s="13"/>
    </row>
    <row r="93" customFormat="false" ht="15" hidden="false" customHeight="false" outlineLevel="0" collapsed="false">
      <c r="A93" s="12" t="n">
        <v>92</v>
      </c>
      <c r="B93" s="11" t="s">
        <v>246</v>
      </c>
      <c r="C93" s="11" t="s">
        <v>247</v>
      </c>
      <c r="D93" s="11" t="s">
        <v>275</v>
      </c>
      <c r="E93" s="13" t="s">
        <v>249</v>
      </c>
      <c r="F93" s="11" t="s">
        <v>143</v>
      </c>
      <c r="G93" s="13" t="s">
        <v>250</v>
      </c>
      <c r="H93" s="12" t="s">
        <v>29</v>
      </c>
      <c r="I93" s="27" t="n">
        <v>46294</v>
      </c>
      <c r="J93" s="13"/>
    </row>
    <row r="94" customFormat="false" ht="29.85" hidden="false" customHeight="false" outlineLevel="0" collapsed="false">
      <c r="A94" s="12" t="n">
        <v>93</v>
      </c>
      <c r="B94" s="11" t="s">
        <v>246</v>
      </c>
      <c r="C94" s="11" t="s">
        <v>247</v>
      </c>
      <c r="D94" s="11" t="s">
        <v>276</v>
      </c>
      <c r="E94" s="13" t="s">
        <v>274</v>
      </c>
      <c r="F94" s="11" t="s">
        <v>79</v>
      </c>
      <c r="G94" s="13" t="s">
        <v>250</v>
      </c>
      <c r="H94" s="12" t="s">
        <v>29</v>
      </c>
      <c r="I94" s="27" t="n">
        <v>46294</v>
      </c>
      <c r="J94" s="13"/>
    </row>
    <row r="95" customFormat="false" ht="23.85" hidden="false" customHeight="false" outlineLevel="0" collapsed="false">
      <c r="A95" s="12" t="n">
        <v>94</v>
      </c>
      <c r="B95" s="11" t="s">
        <v>246</v>
      </c>
      <c r="C95" s="11" t="s">
        <v>277</v>
      </c>
      <c r="D95" s="11" t="s">
        <v>278</v>
      </c>
      <c r="E95" s="13" t="s">
        <v>279</v>
      </c>
      <c r="F95" s="13" t="s">
        <v>280</v>
      </c>
      <c r="G95" s="13" t="s">
        <v>281</v>
      </c>
      <c r="H95" s="12" t="s">
        <v>29</v>
      </c>
      <c r="I95" s="27" t="n">
        <v>46294</v>
      </c>
      <c r="J95" s="13"/>
    </row>
    <row r="96" customFormat="false" ht="23.85" hidden="false" customHeight="false" outlineLevel="0" collapsed="false">
      <c r="A96" s="12" t="n">
        <v>95</v>
      </c>
      <c r="B96" s="11" t="s">
        <v>246</v>
      </c>
      <c r="C96" s="11" t="s">
        <v>277</v>
      </c>
      <c r="D96" s="11" t="s">
        <v>282</v>
      </c>
      <c r="E96" s="13" t="s">
        <v>283</v>
      </c>
      <c r="F96" s="13" t="s">
        <v>280</v>
      </c>
      <c r="G96" s="13" t="s">
        <v>281</v>
      </c>
      <c r="H96" s="12" t="s">
        <v>29</v>
      </c>
      <c r="I96" s="27" t="n">
        <v>46294</v>
      </c>
      <c r="J96" s="13"/>
    </row>
    <row r="97" customFormat="false" ht="23.85" hidden="false" customHeight="false" outlineLevel="0" collapsed="false">
      <c r="A97" s="12" t="n">
        <v>96</v>
      </c>
      <c r="B97" s="11" t="s">
        <v>246</v>
      </c>
      <c r="C97" s="11" t="s">
        <v>277</v>
      </c>
      <c r="D97" s="11" t="s">
        <v>284</v>
      </c>
      <c r="E97" s="13" t="s">
        <v>285</v>
      </c>
      <c r="F97" s="13" t="s">
        <v>286</v>
      </c>
      <c r="G97" s="13" t="s">
        <v>281</v>
      </c>
      <c r="H97" s="12" t="s">
        <v>29</v>
      </c>
      <c r="I97" s="27" t="n">
        <v>46294</v>
      </c>
      <c r="J97" s="13"/>
    </row>
    <row r="98" customFormat="false" ht="23.85" hidden="false" customHeight="false" outlineLevel="0" collapsed="false">
      <c r="A98" s="12" t="n">
        <v>97</v>
      </c>
      <c r="B98" s="11" t="s">
        <v>246</v>
      </c>
      <c r="C98" s="11" t="s">
        <v>277</v>
      </c>
      <c r="D98" s="11" t="s">
        <v>287</v>
      </c>
      <c r="E98" s="13" t="s">
        <v>288</v>
      </c>
      <c r="F98" s="13" t="s">
        <v>280</v>
      </c>
      <c r="G98" s="13" t="s">
        <v>281</v>
      </c>
      <c r="H98" s="12" t="s">
        <v>29</v>
      </c>
      <c r="I98" s="27" t="n">
        <v>46294</v>
      </c>
      <c r="J98" s="13"/>
    </row>
    <row r="99" customFormat="false" ht="23.85" hidden="false" customHeight="false" outlineLevel="0" collapsed="false">
      <c r="A99" s="12" t="n">
        <v>98</v>
      </c>
      <c r="B99" s="11" t="s">
        <v>246</v>
      </c>
      <c r="C99" s="11" t="s">
        <v>277</v>
      </c>
      <c r="D99" s="11" t="s">
        <v>289</v>
      </c>
      <c r="E99" s="13" t="s">
        <v>290</v>
      </c>
      <c r="F99" s="13" t="s">
        <v>280</v>
      </c>
      <c r="G99" s="13" t="s">
        <v>281</v>
      </c>
      <c r="H99" s="12" t="s">
        <v>29</v>
      </c>
      <c r="I99" s="27" t="n">
        <v>46294</v>
      </c>
      <c r="J99" s="13"/>
    </row>
    <row r="100" customFormat="false" ht="23.85" hidden="false" customHeight="false" outlineLevel="0" collapsed="false">
      <c r="A100" s="12" t="n">
        <v>99</v>
      </c>
      <c r="B100" s="11" t="s">
        <v>246</v>
      </c>
      <c r="C100" s="11" t="s">
        <v>277</v>
      </c>
      <c r="D100" s="11" t="s">
        <v>291</v>
      </c>
      <c r="E100" s="13" t="s">
        <v>292</v>
      </c>
      <c r="F100" s="11" t="s">
        <v>76</v>
      </c>
      <c r="G100" s="13" t="s">
        <v>281</v>
      </c>
      <c r="H100" s="12" t="s">
        <v>29</v>
      </c>
      <c r="I100" s="27" t="n">
        <v>46294</v>
      </c>
      <c r="J100" s="13"/>
    </row>
    <row r="101" customFormat="false" ht="46.25" hidden="false" customHeight="false" outlineLevel="0" collapsed="false">
      <c r="A101" s="12" t="n">
        <v>100</v>
      </c>
      <c r="B101" s="11" t="s">
        <v>246</v>
      </c>
      <c r="C101" s="11" t="s">
        <v>277</v>
      </c>
      <c r="D101" s="11" t="s">
        <v>293</v>
      </c>
      <c r="E101" s="13" t="s">
        <v>294</v>
      </c>
      <c r="F101" s="13" t="s">
        <v>280</v>
      </c>
      <c r="G101" s="13" t="s">
        <v>281</v>
      </c>
      <c r="H101" s="12" t="s">
        <v>29</v>
      </c>
      <c r="I101" s="27" t="n">
        <v>46294</v>
      </c>
      <c r="J101" s="13"/>
    </row>
    <row r="102" customFormat="false" ht="46.25" hidden="false" customHeight="false" outlineLevel="0" collapsed="false">
      <c r="A102" s="12" t="n">
        <v>101</v>
      </c>
      <c r="B102" s="11" t="s">
        <v>246</v>
      </c>
      <c r="C102" s="11" t="s">
        <v>277</v>
      </c>
      <c r="D102" s="11" t="s">
        <v>295</v>
      </c>
      <c r="E102" s="13" t="s">
        <v>296</v>
      </c>
      <c r="F102" s="11" t="s">
        <v>76</v>
      </c>
      <c r="G102" s="13" t="s">
        <v>281</v>
      </c>
      <c r="H102" s="12" t="s">
        <v>29</v>
      </c>
      <c r="I102" s="27" t="n">
        <v>46294</v>
      </c>
      <c r="J102" s="13"/>
    </row>
    <row r="103" customFormat="false" ht="23.85" hidden="false" customHeight="false" outlineLevel="0" collapsed="false">
      <c r="A103" s="12" t="n">
        <v>102</v>
      </c>
      <c r="B103" s="11" t="s">
        <v>246</v>
      </c>
      <c r="C103" s="11" t="s">
        <v>277</v>
      </c>
      <c r="D103" s="11" t="s">
        <v>297</v>
      </c>
      <c r="E103" s="13" t="s">
        <v>298</v>
      </c>
      <c r="F103" s="13" t="s">
        <v>87</v>
      </c>
      <c r="G103" s="13" t="s">
        <v>281</v>
      </c>
      <c r="H103" s="12" t="s">
        <v>29</v>
      </c>
      <c r="I103" s="27" t="n">
        <v>46294</v>
      </c>
      <c r="J103" s="13"/>
    </row>
    <row r="104" customFormat="false" ht="29.85" hidden="false" customHeight="false" outlineLevel="0" collapsed="false">
      <c r="A104" s="12" t="n">
        <v>103</v>
      </c>
      <c r="B104" s="11" t="s">
        <v>246</v>
      </c>
      <c r="C104" s="11" t="s">
        <v>299</v>
      </c>
      <c r="D104" s="11" t="s">
        <v>300</v>
      </c>
      <c r="E104" s="13" t="s">
        <v>279</v>
      </c>
      <c r="F104" s="11" t="s">
        <v>79</v>
      </c>
      <c r="G104" s="13" t="s">
        <v>301</v>
      </c>
      <c r="H104" s="12" t="s">
        <v>29</v>
      </c>
      <c r="I104" s="27" t="n">
        <v>46294</v>
      </c>
      <c r="J104" s="13"/>
    </row>
    <row r="105" customFormat="false" ht="29.85" hidden="false" customHeight="false" outlineLevel="0" collapsed="false">
      <c r="A105" s="12" t="n">
        <v>104</v>
      </c>
      <c r="B105" s="11" t="s">
        <v>246</v>
      </c>
      <c r="C105" s="11" t="s">
        <v>299</v>
      </c>
      <c r="D105" s="11" t="s">
        <v>302</v>
      </c>
      <c r="E105" s="13" t="s">
        <v>303</v>
      </c>
      <c r="F105" s="11" t="s">
        <v>79</v>
      </c>
      <c r="G105" s="13" t="s">
        <v>301</v>
      </c>
      <c r="H105" s="12" t="s">
        <v>29</v>
      </c>
      <c r="I105" s="27" t="n">
        <v>46294</v>
      </c>
      <c r="J105" s="13"/>
    </row>
    <row r="106" customFormat="false" ht="26.85" hidden="false" customHeight="false" outlineLevel="0" collapsed="false">
      <c r="A106" s="12" t="n">
        <v>105</v>
      </c>
      <c r="B106" s="11" t="s">
        <v>246</v>
      </c>
      <c r="C106" s="11" t="s">
        <v>299</v>
      </c>
      <c r="D106" s="11" t="s">
        <v>304</v>
      </c>
      <c r="E106" s="13" t="s">
        <v>305</v>
      </c>
      <c r="F106" s="11" t="s">
        <v>306</v>
      </c>
      <c r="G106" s="13" t="s">
        <v>301</v>
      </c>
      <c r="H106" s="12" t="s">
        <v>29</v>
      </c>
      <c r="I106" s="27" t="n">
        <v>46294</v>
      </c>
      <c r="J106" s="13"/>
    </row>
    <row r="107" customFormat="false" ht="15" hidden="false" customHeight="false" outlineLevel="0" collapsed="false">
      <c r="A107" s="12" t="n">
        <v>106</v>
      </c>
      <c r="B107" s="11" t="s">
        <v>246</v>
      </c>
      <c r="C107" s="11" t="s">
        <v>299</v>
      </c>
      <c r="D107" s="11" t="s">
        <v>307</v>
      </c>
      <c r="E107" s="13" t="s">
        <v>308</v>
      </c>
      <c r="F107" s="11" t="s">
        <v>309</v>
      </c>
      <c r="G107" s="13" t="s">
        <v>301</v>
      </c>
      <c r="H107" s="12" t="s">
        <v>29</v>
      </c>
      <c r="I107" s="27" t="n">
        <v>46294</v>
      </c>
      <c r="J107" s="13"/>
    </row>
    <row r="108" customFormat="false" ht="15" hidden="false" customHeight="false" outlineLevel="0" collapsed="false">
      <c r="A108" s="12" t="n">
        <v>107</v>
      </c>
      <c r="B108" s="11" t="s">
        <v>246</v>
      </c>
      <c r="C108" s="11" t="s">
        <v>299</v>
      </c>
      <c r="D108" s="11" t="s">
        <v>310</v>
      </c>
      <c r="E108" s="13" t="s">
        <v>308</v>
      </c>
      <c r="F108" s="11" t="s">
        <v>309</v>
      </c>
      <c r="G108" s="13" t="s">
        <v>301</v>
      </c>
      <c r="H108" s="12" t="s">
        <v>29</v>
      </c>
      <c r="I108" s="27" t="n">
        <v>46294</v>
      </c>
      <c r="J108" s="13"/>
    </row>
    <row r="109" customFormat="false" ht="29.85" hidden="false" customHeight="false" outlineLevel="0" collapsed="false">
      <c r="A109" s="12" t="n">
        <v>108</v>
      </c>
      <c r="B109" s="11" t="s">
        <v>246</v>
      </c>
      <c r="C109" s="11" t="s">
        <v>299</v>
      </c>
      <c r="D109" s="11" t="s">
        <v>311</v>
      </c>
      <c r="E109" s="13" t="s">
        <v>312</v>
      </c>
      <c r="F109" s="11" t="s">
        <v>313</v>
      </c>
      <c r="G109" s="13" t="s">
        <v>301</v>
      </c>
      <c r="H109" s="12" t="s">
        <v>29</v>
      </c>
      <c r="I109" s="27" t="n">
        <v>46294</v>
      </c>
      <c r="J109" s="13"/>
    </row>
    <row r="110" customFormat="false" ht="29.85" hidden="false" customHeight="false" outlineLevel="0" collapsed="false">
      <c r="A110" s="12" t="n">
        <v>109</v>
      </c>
      <c r="B110" s="11" t="s">
        <v>246</v>
      </c>
      <c r="C110" s="11" t="s">
        <v>299</v>
      </c>
      <c r="D110" s="11" t="s">
        <v>314</v>
      </c>
      <c r="E110" s="13" t="s">
        <v>315</v>
      </c>
      <c r="F110" s="11" t="s">
        <v>316</v>
      </c>
      <c r="G110" s="13" t="s">
        <v>301</v>
      </c>
      <c r="H110" s="12" t="s">
        <v>29</v>
      </c>
      <c r="I110" s="27" t="n">
        <v>46294</v>
      </c>
      <c r="J110" s="13"/>
    </row>
    <row r="111" customFormat="false" ht="15" hidden="false" customHeight="false" outlineLevel="0" collapsed="false">
      <c r="A111" s="12" t="n">
        <v>110</v>
      </c>
      <c r="B111" s="11" t="s">
        <v>246</v>
      </c>
      <c r="C111" s="11" t="s">
        <v>299</v>
      </c>
      <c r="D111" s="11" t="s">
        <v>317</v>
      </c>
      <c r="E111" s="13" t="s">
        <v>318</v>
      </c>
      <c r="F111" s="11" t="s">
        <v>143</v>
      </c>
      <c r="G111" s="13" t="s">
        <v>301</v>
      </c>
      <c r="H111" s="12" t="s">
        <v>29</v>
      </c>
      <c r="I111" s="27" t="n">
        <v>46294</v>
      </c>
      <c r="J111" s="13"/>
    </row>
    <row r="112" customFormat="false" ht="15" hidden="false" customHeight="false" outlineLevel="0" collapsed="false">
      <c r="A112" s="12" t="n">
        <v>111</v>
      </c>
      <c r="B112" s="11" t="s">
        <v>246</v>
      </c>
      <c r="C112" s="11" t="s">
        <v>299</v>
      </c>
      <c r="D112" s="11" t="s">
        <v>319</v>
      </c>
      <c r="E112" s="13" t="s">
        <v>318</v>
      </c>
      <c r="F112" s="13" t="s">
        <v>320</v>
      </c>
      <c r="G112" s="13" t="s">
        <v>301</v>
      </c>
      <c r="H112" s="12" t="s">
        <v>29</v>
      </c>
      <c r="I112" s="27" t="n">
        <v>46294</v>
      </c>
      <c r="J112" s="13"/>
    </row>
    <row r="113" customFormat="false" ht="15" hidden="false" customHeight="false" outlineLevel="0" collapsed="false">
      <c r="A113" s="12" t="n">
        <v>112</v>
      </c>
      <c r="B113" s="11" t="s">
        <v>246</v>
      </c>
      <c r="C113" s="11" t="s">
        <v>299</v>
      </c>
      <c r="D113" s="11" t="s">
        <v>321</v>
      </c>
      <c r="E113" s="13" t="s">
        <v>318</v>
      </c>
      <c r="F113" s="11" t="s">
        <v>122</v>
      </c>
      <c r="G113" s="13" t="s">
        <v>301</v>
      </c>
      <c r="H113" s="12" t="s">
        <v>29</v>
      </c>
      <c r="I113" s="27" t="n">
        <v>46294</v>
      </c>
      <c r="J113" s="13"/>
    </row>
    <row r="114" customFormat="false" ht="29.85" hidden="false" customHeight="false" outlineLevel="0" collapsed="false">
      <c r="A114" s="12" t="n">
        <v>113</v>
      </c>
      <c r="B114" s="11" t="s">
        <v>246</v>
      </c>
      <c r="C114" s="11" t="s">
        <v>299</v>
      </c>
      <c r="D114" s="11" t="s">
        <v>322</v>
      </c>
      <c r="E114" s="13" t="s">
        <v>323</v>
      </c>
      <c r="F114" s="11" t="s">
        <v>79</v>
      </c>
      <c r="G114" s="13" t="s">
        <v>301</v>
      </c>
      <c r="H114" s="12" t="s">
        <v>29</v>
      </c>
      <c r="I114" s="27" t="n">
        <v>46294</v>
      </c>
      <c r="J114" s="13"/>
    </row>
    <row r="115" customFormat="false" ht="29.85" hidden="false" customHeight="false" outlineLevel="0" collapsed="false">
      <c r="A115" s="12" t="n">
        <v>114</v>
      </c>
      <c r="B115" s="11" t="s">
        <v>246</v>
      </c>
      <c r="C115" s="11" t="s">
        <v>299</v>
      </c>
      <c r="D115" s="11" t="s">
        <v>324</v>
      </c>
      <c r="E115" s="13" t="s">
        <v>323</v>
      </c>
      <c r="F115" s="11" t="s">
        <v>79</v>
      </c>
      <c r="G115" s="13" t="s">
        <v>301</v>
      </c>
      <c r="H115" s="12" t="s">
        <v>29</v>
      </c>
      <c r="I115" s="27" t="n">
        <v>46294</v>
      </c>
      <c r="J115" s="13"/>
    </row>
    <row r="116" customFormat="false" ht="15" hidden="false" customHeight="false" outlineLevel="0" collapsed="false">
      <c r="A116" s="12" t="n">
        <v>115</v>
      </c>
      <c r="B116" s="11" t="s">
        <v>246</v>
      </c>
      <c r="C116" s="11" t="s">
        <v>299</v>
      </c>
      <c r="D116" s="11" t="s">
        <v>325</v>
      </c>
      <c r="E116" s="13" t="s">
        <v>326</v>
      </c>
      <c r="F116" s="11" t="s">
        <v>327</v>
      </c>
      <c r="G116" s="13" t="s">
        <v>301</v>
      </c>
      <c r="H116" s="12" t="s">
        <v>29</v>
      </c>
      <c r="I116" s="27" t="n">
        <v>46294</v>
      </c>
      <c r="J116" s="13"/>
    </row>
    <row r="117" customFormat="false" ht="15" hidden="false" customHeight="false" outlineLevel="0" collapsed="false">
      <c r="A117" s="12" t="n">
        <v>116</v>
      </c>
      <c r="B117" s="11" t="s">
        <v>246</v>
      </c>
      <c r="C117" s="11" t="s">
        <v>299</v>
      </c>
      <c r="D117" s="11" t="s">
        <v>328</v>
      </c>
      <c r="E117" s="13" t="s">
        <v>326</v>
      </c>
      <c r="F117" s="11" t="s">
        <v>122</v>
      </c>
      <c r="G117" s="13" t="s">
        <v>301</v>
      </c>
      <c r="H117" s="12" t="s">
        <v>29</v>
      </c>
      <c r="I117" s="27" t="n">
        <v>46294</v>
      </c>
      <c r="J117" s="13"/>
    </row>
    <row r="118" customFormat="false" ht="29.85" hidden="false" customHeight="false" outlineLevel="0" collapsed="false">
      <c r="A118" s="12" t="n">
        <v>117</v>
      </c>
      <c r="B118" s="11" t="s">
        <v>246</v>
      </c>
      <c r="C118" s="11" t="s">
        <v>299</v>
      </c>
      <c r="D118" s="11" t="s">
        <v>329</v>
      </c>
      <c r="E118" s="13" t="s">
        <v>330</v>
      </c>
      <c r="F118" s="11" t="s">
        <v>313</v>
      </c>
      <c r="G118" s="13" t="s">
        <v>331</v>
      </c>
      <c r="H118" s="12" t="s">
        <v>29</v>
      </c>
      <c r="I118" s="27" t="n">
        <v>46294</v>
      </c>
      <c r="J118" s="13"/>
    </row>
    <row r="119" customFormat="false" ht="23.85" hidden="false" customHeight="false" outlineLevel="0" collapsed="false">
      <c r="A119" s="12" t="n">
        <v>118</v>
      </c>
      <c r="B119" s="11" t="s">
        <v>246</v>
      </c>
      <c r="C119" s="11" t="s">
        <v>299</v>
      </c>
      <c r="D119" s="11" t="s">
        <v>332</v>
      </c>
      <c r="E119" s="13" t="s">
        <v>285</v>
      </c>
      <c r="F119" s="11" t="s">
        <v>333</v>
      </c>
      <c r="G119" s="13" t="s">
        <v>331</v>
      </c>
      <c r="H119" s="12" t="s">
        <v>29</v>
      </c>
      <c r="I119" s="27" t="n">
        <v>46294</v>
      </c>
      <c r="J119" s="13"/>
    </row>
    <row r="120" customFormat="false" ht="23.85" hidden="false" customHeight="false" outlineLevel="0" collapsed="false">
      <c r="A120" s="12" t="n">
        <v>119</v>
      </c>
      <c r="B120" s="11" t="s">
        <v>246</v>
      </c>
      <c r="C120" s="11" t="s">
        <v>299</v>
      </c>
      <c r="D120" s="11" t="s">
        <v>334</v>
      </c>
      <c r="E120" s="13" t="s">
        <v>285</v>
      </c>
      <c r="F120" s="11" t="s">
        <v>333</v>
      </c>
      <c r="G120" s="13" t="s">
        <v>331</v>
      </c>
      <c r="H120" s="12" t="s">
        <v>29</v>
      </c>
      <c r="I120" s="27" t="n">
        <v>46294</v>
      </c>
      <c r="J120" s="13"/>
    </row>
    <row r="121" customFormat="false" ht="29.85" hidden="false" customHeight="false" outlineLevel="0" collapsed="false">
      <c r="A121" s="12" t="n">
        <v>120</v>
      </c>
      <c r="B121" s="11" t="s">
        <v>246</v>
      </c>
      <c r="C121" s="11" t="s">
        <v>335</v>
      </c>
      <c r="D121" s="11" t="s">
        <v>336</v>
      </c>
      <c r="E121" s="13" t="s">
        <v>337</v>
      </c>
      <c r="F121" s="11" t="s">
        <v>79</v>
      </c>
      <c r="G121" s="13" t="s">
        <v>338</v>
      </c>
      <c r="H121" s="12" t="s">
        <v>29</v>
      </c>
      <c r="I121" s="27" t="n">
        <v>46294</v>
      </c>
      <c r="J121" s="13"/>
    </row>
    <row r="122" customFormat="false" ht="29.85" hidden="false" customHeight="false" outlineLevel="0" collapsed="false">
      <c r="A122" s="12" t="n">
        <v>121</v>
      </c>
      <c r="B122" s="11" t="s">
        <v>246</v>
      </c>
      <c r="C122" s="11" t="s">
        <v>335</v>
      </c>
      <c r="D122" s="11" t="s">
        <v>339</v>
      </c>
      <c r="E122" s="13" t="s">
        <v>288</v>
      </c>
      <c r="F122" s="11" t="s">
        <v>79</v>
      </c>
      <c r="G122" s="13" t="s">
        <v>338</v>
      </c>
      <c r="H122" s="12" t="s">
        <v>29</v>
      </c>
      <c r="I122" s="27" t="n">
        <v>46294</v>
      </c>
      <c r="J122" s="13"/>
    </row>
    <row r="123" customFormat="false" ht="15" hidden="false" customHeight="false" outlineLevel="0" collapsed="false">
      <c r="A123" s="12" t="n">
        <v>122</v>
      </c>
      <c r="B123" s="11" t="s">
        <v>246</v>
      </c>
      <c r="C123" s="11" t="s">
        <v>335</v>
      </c>
      <c r="D123" s="11" t="s">
        <v>340</v>
      </c>
      <c r="E123" s="13" t="s">
        <v>290</v>
      </c>
      <c r="F123" s="11" t="s">
        <v>341</v>
      </c>
      <c r="G123" s="13" t="s">
        <v>338</v>
      </c>
      <c r="H123" s="12" t="s">
        <v>29</v>
      </c>
      <c r="I123" s="27" t="n">
        <v>46294</v>
      </c>
      <c r="J123" s="13"/>
    </row>
    <row r="124" customFormat="false" ht="15" hidden="false" customHeight="false" outlineLevel="0" collapsed="false">
      <c r="A124" s="12" t="n">
        <v>123</v>
      </c>
      <c r="B124" s="11" t="s">
        <v>246</v>
      </c>
      <c r="C124" s="11" t="s">
        <v>335</v>
      </c>
      <c r="D124" s="11" t="s">
        <v>342</v>
      </c>
      <c r="E124" s="13" t="s">
        <v>290</v>
      </c>
      <c r="F124" s="13" t="s">
        <v>343</v>
      </c>
      <c r="G124" s="13" t="s">
        <v>338</v>
      </c>
      <c r="H124" s="12" t="s">
        <v>29</v>
      </c>
      <c r="I124" s="27" t="n">
        <v>46294</v>
      </c>
      <c r="J124" s="13"/>
    </row>
    <row r="125" customFormat="false" ht="15" hidden="false" customHeight="false" outlineLevel="0" collapsed="false">
      <c r="A125" s="12" t="n">
        <v>124</v>
      </c>
      <c r="B125" s="11" t="s">
        <v>246</v>
      </c>
      <c r="C125" s="11" t="s">
        <v>335</v>
      </c>
      <c r="D125" s="11" t="s">
        <v>344</v>
      </c>
      <c r="E125" s="13" t="s">
        <v>290</v>
      </c>
      <c r="F125" s="11" t="s">
        <v>122</v>
      </c>
      <c r="G125" s="13" t="s">
        <v>338</v>
      </c>
      <c r="H125" s="12" t="s">
        <v>29</v>
      </c>
      <c r="I125" s="27" t="n">
        <v>46294</v>
      </c>
      <c r="J125" s="13"/>
    </row>
    <row r="126" customFormat="false" ht="15" hidden="false" customHeight="false" outlineLevel="0" collapsed="false">
      <c r="A126" s="12" t="n">
        <v>125</v>
      </c>
      <c r="B126" s="11" t="s">
        <v>246</v>
      </c>
      <c r="C126" s="11" t="s">
        <v>335</v>
      </c>
      <c r="D126" s="11" t="s">
        <v>345</v>
      </c>
      <c r="E126" s="13" t="s">
        <v>290</v>
      </c>
      <c r="F126" s="11" t="s">
        <v>143</v>
      </c>
      <c r="G126" s="13" t="s">
        <v>338</v>
      </c>
      <c r="H126" s="12" t="s">
        <v>29</v>
      </c>
      <c r="I126" s="27" t="n">
        <v>46294</v>
      </c>
      <c r="J126" s="13"/>
    </row>
    <row r="127" customFormat="false" ht="29.85" hidden="false" customHeight="false" outlineLevel="0" collapsed="false">
      <c r="A127" s="12" t="n">
        <v>126</v>
      </c>
      <c r="B127" s="11" t="s">
        <v>246</v>
      </c>
      <c r="C127" s="11" t="s">
        <v>335</v>
      </c>
      <c r="D127" s="11" t="s">
        <v>346</v>
      </c>
      <c r="E127" s="13" t="s">
        <v>347</v>
      </c>
      <c r="F127" s="11" t="s">
        <v>79</v>
      </c>
      <c r="G127" s="13" t="s">
        <v>338</v>
      </c>
      <c r="H127" s="12" t="s">
        <v>29</v>
      </c>
      <c r="I127" s="27" t="n">
        <v>46294</v>
      </c>
      <c r="J127" s="13"/>
    </row>
    <row r="128" customFormat="false" ht="29.85" hidden="false" customHeight="false" outlineLevel="0" collapsed="false">
      <c r="A128" s="12" t="n">
        <v>127</v>
      </c>
      <c r="B128" s="11" t="s">
        <v>246</v>
      </c>
      <c r="C128" s="11" t="s">
        <v>335</v>
      </c>
      <c r="D128" s="11" t="s">
        <v>348</v>
      </c>
      <c r="E128" s="13" t="s">
        <v>347</v>
      </c>
      <c r="F128" s="11" t="s">
        <v>79</v>
      </c>
      <c r="G128" s="13" t="s">
        <v>338</v>
      </c>
      <c r="H128" s="12" t="s">
        <v>29</v>
      </c>
      <c r="I128" s="27" t="n">
        <v>46294</v>
      </c>
      <c r="J128" s="13"/>
    </row>
    <row r="129" customFormat="false" ht="15" hidden="false" customHeight="false" outlineLevel="0" collapsed="false">
      <c r="A129" s="12" t="n">
        <v>128</v>
      </c>
      <c r="B129" s="11" t="s">
        <v>246</v>
      </c>
      <c r="C129" s="11" t="s">
        <v>335</v>
      </c>
      <c r="D129" s="11" t="s">
        <v>349</v>
      </c>
      <c r="E129" s="13" t="s">
        <v>347</v>
      </c>
      <c r="F129" s="11" t="s">
        <v>122</v>
      </c>
      <c r="G129" s="13" t="s">
        <v>338</v>
      </c>
      <c r="H129" s="12" t="s">
        <v>29</v>
      </c>
      <c r="I129" s="27" t="n">
        <v>46294</v>
      </c>
      <c r="J129" s="13"/>
    </row>
    <row r="130" customFormat="false" ht="29.85" hidden="false" customHeight="false" outlineLevel="0" collapsed="false">
      <c r="A130" s="12" t="n">
        <v>129</v>
      </c>
      <c r="B130" s="11" t="s">
        <v>246</v>
      </c>
      <c r="C130" s="11" t="s">
        <v>335</v>
      </c>
      <c r="D130" s="11" t="s">
        <v>350</v>
      </c>
      <c r="E130" s="13" t="s">
        <v>351</v>
      </c>
      <c r="F130" s="11" t="s">
        <v>79</v>
      </c>
      <c r="G130" s="13" t="s">
        <v>338</v>
      </c>
      <c r="H130" s="12" t="s">
        <v>29</v>
      </c>
      <c r="I130" s="27" t="n">
        <v>46294</v>
      </c>
      <c r="J130" s="13"/>
    </row>
    <row r="131" customFormat="false" ht="44" hidden="false" customHeight="false" outlineLevel="0" collapsed="false">
      <c r="A131" s="12" t="n">
        <v>130</v>
      </c>
      <c r="B131" s="11" t="s">
        <v>246</v>
      </c>
      <c r="C131" s="11" t="s">
        <v>335</v>
      </c>
      <c r="D131" s="11" t="s">
        <v>352</v>
      </c>
      <c r="E131" s="13" t="s">
        <v>353</v>
      </c>
      <c r="F131" s="11" t="s">
        <v>354</v>
      </c>
      <c r="G131" s="13" t="s">
        <v>338</v>
      </c>
      <c r="H131" s="12" t="s">
        <v>29</v>
      </c>
      <c r="I131" s="27" t="n">
        <v>46294</v>
      </c>
      <c r="J131" s="13"/>
    </row>
    <row r="132" customFormat="false" ht="35.05" hidden="false" customHeight="false" outlineLevel="0" collapsed="false">
      <c r="A132" s="12" t="n">
        <v>131</v>
      </c>
      <c r="B132" s="11" t="s">
        <v>246</v>
      </c>
      <c r="C132" s="11" t="s">
        <v>335</v>
      </c>
      <c r="D132" s="11" t="s">
        <v>355</v>
      </c>
      <c r="E132" s="13" t="s">
        <v>356</v>
      </c>
      <c r="F132" s="13" t="s">
        <v>280</v>
      </c>
      <c r="G132" s="13" t="s">
        <v>338</v>
      </c>
      <c r="H132" s="12" t="s">
        <v>29</v>
      </c>
      <c r="I132" s="27" t="n">
        <v>46294</v>
      </c>
      <c r="J132" s="13"/>
    </row>
    <row r="133" customFormat="false" ht="23.85" hidden="false" customHeight="false" outlineLevel="0" collapsed="false">
      <c r="A133" s="12" t="n">
        <v>132</v>
      </c>
      <c r="B133" s="11" t="s">
        <v>246</v>
      </c>
      <c r="C133" s="11" t="s">
        <v>357</v>
      </c>
      <c r="D133" s="11" t="s">
        <v>358</v>
      </c>
      <c r="E133" s="13" t="s">
        <v>359</v>
      </c>
      <c r="F133" s="13" t="s">
        <v>280</v>
      </c>
      <c r="G133" s="13" t="s">
        <v>360</v>
      </c>
      <c r="H133" s="12" t="s">
        <v>29</v>
      </c>
      <c r="I133" s="27" t="n">
        <v>46294</v>
      </c>
      <c r="J133" s="13"/>
    </row>
    <row r="134" customFormat="false" ht="35.05" hidden="false" customHeight="false" outlineLevel="0" collapsed="false">
      <c r="A134" s="12" t="n">
        <v>133</v>
      </c>
      <c r="B134" s="11" t="s">
        <v>246</v>
      </c>
      <c r="C134" s="11" t="s">
        <v>357</v>
      </c>
      <c r="D134" s="11" t="s">
        <v>361</v>
      </c>
      <c r="E134" s="13" t="s">
        <v>362</v>
      </c>
      <c r="F134" s="11" t="s">
        <v>363</v>
      </c>
      <c r="G134" s="13" t="s">
        <v>360</v>
      </c>
      <c r="H134" s="12" t="s">
        <v>29</v>
      </c>
      <c r="I134" s="27" t="n">
        <v>46294</v>
      </c>
      <c r="J134" s="13"/>
    </row>
    <row r="135" customFormat="false" ht="23.85" hidden="false" customHeight="false" outlineLevel="0" collapsed="false">
      <c r="A135" s="12" t="n">
        <v>134</v>
      </c>
      <c r="B135" s="11" t="s">
        <v>246</v>
      </c>
      <c r="C135" s="11" t="s">
        <v>357</v>
      </c>
      <c r="D135" s="11" t="s">
        <v>364</v>
      </c>
      <c r="E135" s="13" t="s">
        <v>290</v>
      </c>
      <c r="F135" s="13" t="s">
        <v>320</v>
      </c>
      <c r="G135" s="13" t="s">
        <v>360</v>
      </c>
      <c r="H135" s="12" t="s">
        <v>29</v>
      </c>
      <c r="I135" s="27" t="n">
        <v>46294</v>
      </c>
      <c r="J135" s="13"/>
    </row>
    <row r="136" customFormat="false" ht="23.85" hidden="false" customHeight="false" outlineLevel="0" collapsed="false">
      <c r="A136" s="12" t="n">
        <v>135</v>
      </c>
      <c r="B136" s="11" t="s">
        <v>246</v>
      </c>
      <c r="C136" s="11" t="s">
        <v>357</v>
      </c>
      <c r="D136" s="11" t="s">
        <v>365</v>
      </c>
      <c r="E136" s="13" t="s">
        <v>290</v>
      </c>
      <c r="F136" s="11" t="s">
        <v>306</v>
      </c>
      <c r="G136" s="13" t="s">
        <v>360</v>
      </c>
      <c r="H136" s="12" t="s">
        <v>29</v>
      </c>
      <c r="I136" s="27" t="n">
        <v>46294</v>
      </c>
      <c r="J136" s="13"/>
    </row>
    <row r="137" customFormat="false" ht="23.85" hidden="false" customHeight="false" outlineLevel="0" collapsed="false">
      <c r="A137" s="12" t="n">
        <v>136</v>
      </c>
      <c r="B137" s="11" t="s">
        <v>246</v>
      </c>
      <c r="C137" s="11" t="s">
        <v>357</v>
      </c>
      <c r="D137" s="11" t="s">
        <v>366</v>
      </c>
      <c r="E137" s="13" t="s">
        <v>367</v>
      </c>
      <c r="F137" s="11" t="s">
        <v>143</v>
      </c>
      <c r="G137" s="13" t="s">
        <v>360</v>
      </c>
      <c r="H137" s="12" t="s">
        <v>29</v>
      </c>
      <c r="I137" s="27" t="n">
        <v>46294</v>
      </c>
      <c r="J137" s="13"/>
    </row>
    <row r="138" customFormat="false" ht="23.85" hidden="false" customHeight="false" outlineLevel="0" collapsed="false">
      <c r="A138" s="12" t="n">
        <v>137</v>
      </c>
      <c r="B138" s="11" t="s">
        <v>246</v>
      </c>
      <c r="C138" s="11" t="s">
        <v>357</v>
      </c>
      <c r="D138" s="11" t="s">
        <v>368</v>
      </c>
      <c r="E138" s="13" t="s">
        <v>367</v>
      </c>
      <c r="F138" s="11" t="s">
        <v>122</v>
      </c>
      <c r="G138" s="13" t="s">
        <v>360</v>
      </c>
      <c r="H138" s="12" t="s">
        <v>29</v>
      </c>
      <c r="I138" s="27" t="n">
        <v>46294</v>
      </c>
      <c r="J138" s="13"/>
    </row>
    <row r="139" customFormat="false" ht="23.85" hidden="false" customHeight="false" outlineLevel="0" collapsed="false">
      <c r="A139" s="12" t="n">
        <v>138</v>
      </c>
      <c r="B139" s="11" t="s">
        <v>246</v>
      </c>
      <c r="C139" s="11" t="s">
        <v>357</v>
      </c>
      <c r="D139" s="11" t="s">
        <v>369</v>
      </c>
      <c r="E139" s="13" t="s">
        <v>370</v>
      </c>
      <c r="F139" s="11" t="s">
        <v>363</v>
      </c>
      <c r="G139" s="13" t="s">
        <v>360</v>
      </c>
      <c r="H139" s="12" t="s">
        <v>29</v>
      </c>
      <c r="I139" s="27" t="n">
        <v>46294</v>
      </c>
      <c r="J139" s="13"/>
    </row>
    <row r="140" customFormat="false" ht="23.85" hidden="false" customHeight="false" outlineLevel="0" collapsed="false">
      <c r="A140" s="12" t="n">
        <v>139</v>
      </c>
      <c r="B140" s="11" t="s">
        <v>246</v>
      </c>
      <c r="C140" s="11" t="s">
        <v>357</v>
      </c>
      <c r="D140" s="11" t="s">
        <v>371</v>
      </c>
      <c r="E140" s="11" t="s">
        <v>372</v>
      </c>
      <c r="F140" s="11" t="s">
        <v>373</v>
      </c>
      <c r="G140" s="13" t="s">
        <v>360</v>
      </c>
      <c r="H140" s="12" t="s">
        <v>29</v>
      </c>
      <c r="I140" s="27" t="n">
        <v>46294</v>
      </c>
      <c r="J140" s="13"/>
    </row>
    <row r="141" customFormat="false" ht="23.85" hidden="false" customHeight="false" outlineLevel="0" collapsed="false">
      <c r="A141" s="12" t="n">
        <v>140</v>
      </c>
      <c r="B141" s="11" t="s">
        <v>246</v>
      </c>
      <c r="C141" s="11" t="s">
        <v>357</v>
      </c>
      <c r="D141" s="11" t="s">
        <v>374</v>
      </c>
      <c r="E141" s="11" t="s">
        <v>372</v>
      </c>
      <c r="F141" s="11" t="s">
        <v>373</v>
      </c>
      <c r="G141" s="13" t="s">
        <v>360</v>
      </c>
      <c r="H141" s="12" t="s">
        <v>29</v>
      </c>
      <c r="I141" s="27" t="n">
        <v>46294</v>
      </c>
      <c r="J141" s="13"/>
    </row>
    <row r="142" customFormat="false" ht="23.85" hidden="false" customHeight="false" outlineLevel="0" collapsed="false">
      <c r="A142" s="12" t="n">
        <v>141</v>
      </c>
      <c r="B142" s="11" t="s">
        <v>246</v>
      </c>
      <c r="C142" s="11" t="s">
        <v>357</v>
      </c>
      <c r="D142" s="11" t="s">
        <v>375</v>
      </c>
      <c r="E142" s="13" t="s">
        <v>370</v>
      </c>
      <c r="F142" s="11" t="s">
        <v>363</v>
      </c>
      <c r="G142" s="13" t="s">
        <v>360</v>
      </c>
      <c r="H142" s="12" t="s">
        <v>29</v>
      </c>
      <c r="I142" s="27" t="n">
        <v>46294</v>
      </c>
      <c r="J142" s="13"/>
    </row>
    <row r="143" customFormat="false" ht="23.85" hidden="false" customHeight="false" outlineLevel="0" collapsed="false">
      <c r="A143" s="12" t="n">
        <v>142</v>
      </c>
      <c r="B143" s="11" t="s">
        <v>246</v>
      </c>
      <c r="C143" s="11" t="s">
        <v>357</v>
      </c>
      <c r="D143" s="11" t="s">
        <v>376</v>
      </c>
      <c r="E143" s="13" t="s">
        <v>367</v>
      </c>
      <c r="F143" s="11" t="s">
        <v>122</v>
      </c>
      <c r="G143" s="13" t="s">
        <v>360</v>
      </c>
      <c r="H143" s="12" t="s">
        <v>29</v>
      </c>
      <c r="I143" s="27" t="n">
        <v>46294</v>
      </c>
      <c r="J143" s="13"/>
    </row>
    <row r="144" customFormat="false" ht="23.85" hidden="false" customHeight="false" outlineLevel="0" collapsed="false">
      <c r="A144" s="12" t="n">
        <v>143</v>
      </c>
      <c r="B144" s="11" t="s">
        <v>246</v>
      </c>
      <c r="C144" s="11" t="s">
        <v>357</v>
      </c>
      <c r="D144" s="11" t="s">
        <v>377</v>
      </c>
      <c r="E144" s="13" t="s">
        <v>131</v>
      </c>
      <c r="F144" s="11" t="s">
        <v>143</v>
      </c>
      <c r="G144" s="13" t="s">
        <v>360</v>
      </c>
      <c r="H144" s="12" t="s">
        <v>29</v>
      </c>
      <c r="I144" s="27" t="n">
        <v>46294</v>
      </c>
      <c r="J144" s="13"/>
    </row>
    <row r="145" customFormat="false" ht="35.05" hidden="false" customHeight="false" outlineLevel="0" collapsed="false">
      <c r="A145" s="12" t="n">
        <v>144</v>
      </c>
      <c r="B145" s="11" t="s">
        <v>246</v>
      </c>
      <c r="C145" s="11" t="s">
        <v>357</v>
      </c>
      <c r="D145" s="11" t="s">
        <v>378</v>
      </c>
      <c r="E145" s="13" t="s">
        <v>379</v>
      </c>
      <c r="F145" s="11" t="s">
        <v>79</v>
      </c>
      <c r="G145" s="13" t="s">
        <v>380</v>
      </c>
      <c r="H145" s="12" t="s">
        <v>29</v>
      </c>
      <c r="I145" s="27" t="n">
        <v>46294</v>
      </c>
      <c r="J145" s="13"/>
    </row>
    <row r="146" customFormat="false" ht="23.85" hidden="false" customHeight="false" outlineLevel="0" collapsed="false">
      <c r="A146" s="12" t="n">
        <v>145</v>
      </c>
      <c r="B146" s="11" t="s">
        <v>246</v>
      </c>
      <c r="C146" s="11" t="s">
        <v>357</v>
      </c>
      <c r="D146" s="11" t="s">
        <v>381</v>
      </c>
      <c r="E146" s="13" t="s">
        <v>382</v>
      </c>
      <c r="F146" s="11" t="s">
        <v>143</v>
      </c>
      <c r="G146" s="13" t="s">
        <v>380</v>
      </c>
      <c r="H146" s="12" t="s">
        <v>29</v>
      </c>
      <c r="I146" s="27" t="n">
        <v>46294</v>
      </c>
      <c r="J146" s="13"/>
    </row>
    <row r="147" customFormat="false" ht="23.85" hidden="false" customHeight="false" outlineLevel="0" collapsed="false">
      <c r="A147" s="12" t="n">
        <v>146</v>
      </c>
      <c r="B147" s="11" t="s">
        <v>246</v>
      </c>
      <c r="C147" s="11" t="s">
        <v>357</v>
      </c>
      <c r="D147" s="11" t="s">
        <v>383</v>
      </c>
      <c r="E147" s="13" t="s">
        <v>382</v>
      </c>
      <c r="F147" s="11" t="s">
        <v>122</v>
      </c>
      <c r="G147" s="13" t="s">
        <v>380</v>
      </c>
      <c r="H147" s="12" t="s">
        <v>29</v>
      </c>
      <c r="I147" s="27" t="n">
        <v>46294</v>
      </c>
      <c r="J147" s="13"/>
    </row>
    <row r="148" customFormat="false" ht="23.85" hidden="false" customHeight="false" outlineLevel="0" collapsed="false">
      <c r="A148" s="12" t="n">
        <v>147</v>
      </c>
      <c r="B148" s="11" t="s">
        <v>246</v>
      </c>
      <c r="C148" s="11" t="s">
        <v>357</v>
      </c>
      <c r="D148" s="11" t="s">
        <v>384</v>
      </c>
      <c r="E148" s="13" t="s">
        <v>367</v>
      </c>
      <c r="F148" s="11" t="s">
        <v>122</v>
      </c>
      <c r="G148" s="13" t="s">
        <v>380</v>
      </c>
      <c r="H148" s="12" t="s">
        <v>29</v>
      </c>
      <c r="I148" s="27" t="n">
        <v>46294</v>
      </c>
      <c r="J148" s="13"/>
    </row>
    <row r="149" customFormat="false" ht="29.85" hidden="false" customHeight="false" outlineLevel="0" collapsed="false">
      <c r="A149" s="12" t="n">
        <v>148</v>
      </c>
      <c r="B149" s="11" t="s">
        <v>246</v>
      </c>
      <c r="C149" s="11" t="s">
        <v>357</v>
      </c>
      <c r="D149" s="11" t="s">
        <v>385</v>
      </c>
      <c r="E149" s="13" t="s">
        <v>370</v>
      </c>
      <c r="F149" s="11" t="s">
        <v>386</v>
      </c>
      <c r="G149" s="13" t="s">
        <v>380</v>
      </c>
      <c r="H149" s="12" t="s">
        <v>29</v>
      </c>
      <c r="I149" s="27" t="n">
        <v>46294</v>
      </c>
      <c r="J149" s="13"/>
    </row>
    <row r="150" customFormat="false" ht="23.85" hidden="false" customHeight="false" outlineLevel="0" collapsed="false">
      <c r="A150" s="12" t="n">
        <v>149</v>
      </c>
      <c r="B150" s="11" t="s">
        <v>246</v>
      </c>
      <c r="C150" s="11" t="s">
        <v>357</v>
      </c>
      <c r="D150" s="11" t="s">
        <v>387</v>
      </c>
      <c r="E150" s="13" t="s">
        <v>370</v>
      </c>
      <c r="F150" s="11" t="s">
        <v>388</v>
      </c>
      <c r="G150" s="13" t="s">
        <v>380</v>
      </c>
      <c r="H150" s="12" t="s">
        <v>29</v>
      </c>
      <c r="I150" s="27" t="n">
        <v>46294</v>
      </c>
      <c r="J150" s="13"/>
    </row>
    <row r="151" customFormat="false" ht="29.85" hidden="false" customHeight="false" outlineLevel="0" collapsed="false">
      <c r="A151" s="12" t="n">
        <v>150</v>
      </c>
      <c r="B151" s="11" t="s">
        <v>246</v>
      </c>
      <c r="C151" s="11" t="s">
        <v>389</v>
      </c>
      <c r="D151" s="11" t="s">
        <v>390</v>
      </c>
      <c r="E151" s="13" t="s">
        <v>391</v>
      </c>
      <c r="F151" s="11" t="s">
        <v>79</v>
      </c>
      <c r="G151" s="13" t="s">
        <v>392</v>
      </c>
      <c r="H151" s="12" t="s">
        <v>29</v>
      </c>
      <c r="I151" s="27" t="n">
        <v>46294</v>
      </c>
      <c r="J151" s="13"/>
    </row>
    <row r="152" customFormat="false" ht="15" hidden="false" customHeight="false" outlineLevel="0" collapsed="false">
      <c r="A152" s="12" t="n">
        <v>151</v>
      </c>
      <c r="B152" s="11" t="s">
        <v>246</v>
      </c>
      <c r="C152" s="11" t="s">
        <v>389</v>
      </c>
      <c r="D152" s="11" t="s">
        <v>393</v>
      </c>
      <c r="E152" s="13" t="s">
        <v>391</v>
      </c>
      <c r="F152" s="11" t="s">
        <v>85</v>
      </c>
      <c r="G152" s="13" t="s">
        <v>392</v>
      </c>
      <c r="H152" s="12" t="s">
        <v>29</v>
      </c>
      <c r="I152" s="27" t="n">
        <v>46294</v>
      </c>
      <c r="J152" s="13"/>
    </row>
    <row r="153" customFormat="false" ht="29.85" hidden="false" customHeight="false" outlineLevel="0" collapsed="false">
      <c r="A153" s="12" t="n">
        <v>152</v>
      </c>
      <c r="B153" s="11" t="s">
        <v>246</v>
      </c>
      <c r="C153" s="11" t="s">
        <v>389</v>
      </c>
      <c r="D153" s="11" t="s">
        <v>394</v>
      </c>
      <c r="E153" s="13" t="s">
        <v>395</v>
      </c>
      <c r="F153" s="11" t="s">
        <v>79</v>
      </c>
      <c r="G153" s="13" t="s">
        <v>392</v>
      </c>
      <c r="H153" s="12" t="s">
        <v>29</v>
      </c>
      <c r="I153" s="27" t="n">
        <v>46294</v>
      </c>
      <c r="J153" s="13"/>
    </row>
    <row r="154" customFormat="false" ht="15" hidden="false" customHeight="false" outlineLevel="0" collapsed="false">
      <c r="A154" s="12" t="n">
        <v>153</v>
      </c>
      <c r="B154" s="11" t="s">
        <v>246</v>
      </c>
      <c r="C154" s="11" t="s">
        <v>389</v>
      </c>
      <c r="D154" s="11" t="s">
        <v>396</v>
      </c>
      <c r="E154" s="13" t="s">
        <v>397</v>
      </c>
      <c r="F154" s="11" t="s">
        <v>363</v>
      </c>
      <c r="G154" s="13" t="s">
        <v>392</v>
      </c>
      <c r="H154" s="12" t="s">
        <v>29</v>
      </c>
      <c r="I154" s="27" t="n">
        <v>46294</v>
      </c>
      <c r="J154" s="13"/>
    </row>
    <row r="155" customFormat="false" ht="29.85" hidden="false" customHeight="false" outlineLevel="0" collapsed="false">
      <c r="A155" s="12" t="n">
        <v>154</v>
      </c>
      <c r="B155" s="11" t="s">
        <v>246</v>
      </c>
      <c r="C155" s="11" t="s">
        <v>389</v>
      </c>
      <c r="D155" s="11" t="s">
        <v>398</v>
      </c>
      <c r="E155" s="13" t="s">
        <v>399</v>
      </c>
      <c r="F155" s="11" t="s">
        <v>400</v>
      </c>
      <c r="G155" s="13" t="s">
        <v>392</v>
      </c>
      <c r="H155" s="12" t="s">
        <v>29</v>
      </c>
      <c r="I155" s="27" t="n">
        <v>46294</v>
      </c>
      <c r="J155" s="13"/>
    </row>
    <row r="156" customFormat="false" ht="15" hidden="false" customHeight="false" outlineLevel="0" collapsed="false">
      <c r="A156" s="12" t="n">
        <v>155</v>
      </c>
      <c r="B156" s="11" t="s">
        <v>246</v>
      </c>
      <c r="C156" s="11" t="s">
        <v>389</v>
      </c>
      <c r="D156" s="11" t="s">
        <v>401</v>
      </c>
      <c r="E156" s="13" t="s">
        <v>402</v>
      </c>
      <c r="F156" s="11" t="s">
        <v>403</v>
      </c>
      <c r="G156" s="13" t="s">
        <v>392</v>
      </c>
      <c r="H156" s="12" t="s">
        <v>29</v>
      </c>
      <c r="I156" s="27" t="n">
        <v>46294</v>
      </c>
      <c r="J156" s="13"/>
    </row>
    <row r="157" customFormat="false" ht="29.85" hidden="false" customHeight="false" outlineLevel="0" collapsed="false">
      <c r="A157" s="12" t="n">
        <v>156</v>
      </c>
      <c r="B157" s="11" t="s">
        <v>246</v>
      </c>
      <c r="C157" s="11" t="s">
        <v>389</v>
      </c>
      <c r="D157" s="11" t="s">
        <v>404</v>
      </c>
      <c r="E157" s="13" t="s">
        <v>405</v>
      </c>
      <c r="F157" s="11" t="s">
        <v>79</v>
      </c>
      <c r="G157" s="13" t="s">
        <v>392</v>
      </c>
      <c r="H157" s="12" t="s">
        <v>29</v>
      </c>
      <c r="I157" s="27" t="n">
        <v>46294</v>
      </c>
      <c r="J157" s="13"/>
    </row>
    <row r="158" customFormat="false" ht="29.85" hidden="false" customHeight="false" outlineLevel="0" collapsed="false">
      <c r="A158" s="12" t="n">
        <v>157</v>
      </c>
      <c r="B158" s="11" t="s">
        <v>246</v>
      </c>
      <c r="C158" s="11" t="s">
        <v>389</v>
      </c>
      <c r="D158" s="11" t="s">
        <v>406</v>
      </c>
      <c r="E158" s="13" t="s">
        <v>407</v>
      </c>
      <c r="F158" s="11" t="s">
        <v>79</v>
      </c>
      <c r="G158" s="13" t="s">
        <v>392</v>
      </c>
      <c r="H158" s="12" t="s">
        <v>29</v>
      </c>
      <c r="I158" s="27" t="n">
        <v>46294</v>
      </c>
      <c r="J158" s="13"/>
    </row>
    <row r="159" customFormat="false" ht="15" hidden="false" customHeight="false" outlineLevel="0" collapsed="false">
      <c r="A159" s="12" t="n">
        <v>158</v>
      </c>
      <c r="B159" s="11" t="s">
        <v>246</v>
      </c>
      <c r="C159" s="11" t="s">
        <v>389</v>
      </c>
      <c r="D159" s="11" t="s">
        <v>408</v>
      </c>
      <c r="E159" s="13" t="s">
        <v>298</v>
      </c>
      <c r="F159" s="11" t="s">
        <v>403</v>
      </c>
      <c r="G159" s="13" t="s">
        <v>392</v>
      </c>
      <c r="H159" s="12" t="s">
        <v>29</v>
      </c>
      <c r="I159" s="27" t="n">
        <v>46294</v>
      </c>
      <c r="J159" s="13"/>
    </row>
    <row r="160" customFormat="false" ht="15" hidden="false" customHeight="false" outlineLevel="0" collapsed="false">
      <c r="A160" s="12" t="n">
        <v>159</v>
      </c>
      <c r="B160" s="11" t="s">
        <v>246</v>
      </c>
      <c r="C160" s="11" t="s">
        <v>389</v>
      </c>
      <c r="D160" s="11" t="s">
        <v>409</v>
      </c>
      <c r="E160" s="13" t="s">
        <v>298</v>
      </c>
      <c r="F160" s="13" t="s">
        <v>87</v>
      </c>
      <c r="G160" s="13" t="s">
        <v>392</v>
      </c>
      <c r="H160" s="12" t="s">
        <v>29</v>
      </c>
      <c r="I160" s="27" t="n">
        <v>46294</v>
      </c>
      <c r="J160" s="13"/>
    </row>
    <row r="161" customFormat="false" ht="35.05" hidden="false" customHeight="false" outlineLevel="0" collapsed="false">
      <c r="A161" s="12" t="n">
        <v>160</v>
      </c>
      <c r="B161" s="11" t="s">
        <v>246</v>
      </c>
      <c r="C161" s="11" t="s">
        <v>389</v>
      </c>
      <c r="D161" s="11" t="s">
        <v>410</v>
      </c>
      <c r="E161" s="13" t="s">
        <v>411</v>
      </c>
      <c r="F161" s="13" t="s">
        <v>286</v>
      </c>
      <c r="G161" s="13" t="s">
        <v>392</v>
      </c>
      <c r="H161" s="12" t="s">
        <v>29</v>
      </c>
      <c r="I161" s="27" t="n">
        <v>46294</v>
      </c>
      <c r="J161" s="13"/>
    </row>
    <row r="162" customFormat="false" ht="15" hidden="false" customHeight="false" outlineLevel="0" collapsed="false">
      <c r="A162" s="12" t="n">
        <v>161</v>
      </c>
      <c r="B162" s="11" t="s">
        <v>246</v>
      </c>
      <c r="C162" s="11" t="s">
        <v>389</v>
      </c>
      <c r="D162" s="11" t="s">
        <v>412</v>
      </c>
      <c r="E162" s="13" t="s">
        <v>413</v>
      </c>
      <c r="F162" s="11" t="s">
        <v>143</v>
      </c>
      <c r="G162" s="13" t="s">
        <v>392</v>
      </c>
      <c r="H162" s="12" t="s">
        <v>29</v>
      </c>
      <c r="I162" s="27" t="n">
        <v>46294</v>
      </c>
      <c r="J162" s="13"/>
    </row>
    <row r="163" customFormat="false" ht="15" hidden="false" customHeight="false" outlineLevel="0" collapsed="false">
      <c r="A163" s="12" t="n">
        <v>162</v>
      </c>
      <c r="B163" s="11" t="s">
        <v>246</v>
      </c>
      <c r="C163" s="11" t="s">
        <v>389</v>
      </c>
      <c r="D163" s="11" t="s">
        <v>414</v>
      </c>
      <c r="E163" s="13" t="s">
        <v>413</v>
      </c>
      <c r="F163" s="11" t="s">
        <v>135</v>
      </c>
      <c r="G163" s="13" t="s">
        <v>392</v>
      </c>
      <c r="H163" s="12" t="s">
        <v>29</v>
      </c>
      <c r="I163" s="27" t="n">
        <v>46294</v>
      </c>
      <c r="J163" s="13"/>
    </row>
    <row r="164" customFormat="false" ht="15" hidden="false" customHeight="false" outlineLevel="0" collapsed="false">
      <c r="A164" s="12" t="n">
        <v>163</v>
      </c>
      <c r="B164" s="11" t="s">
        <v>246</v>
      </c>
      <c r="C164" s="11" t="s">
        <v>389</v>
      </c>
      <c r="D164" s="11" t="s">
        <v>415</v>
      </c>
      <c r="E164" s="13" t="s">
        <v>413</v>
      </c>
      <c r="F164" s="11" t="s">
        <v>122</v>
      </c>
      <c r="G164" s="13" t="s">
        <v>392</v>
      </c>
      <c r="H164" s="12" t="s">
        <v>29</v>
      </c>
      <c r="I164" s="27" t="n">
        <v>46294</v>
      </c>
      <c r="J164" s="13"/>
    </row>
    <row r="165" customFormat="false" ht="29.85" hidden="false" customHeight="false" outlineLevel="0" collapsed="false">
      <c r="A165" s="12" t="n">
        <v>164</v>
      </c>
      <c r="B165" s="11" t="s">
        <v>246</v>
      </c>
      <c r="C165" s="11" t="s">
        <v>416</v>
      </c>
      <c r="D165" s="11" t="s">
        <v>417</v>
      </c>
      <c r="E165" s="13" t="s">
        <v>418</v>
      </c>
      <c r="F165" s="11" t="s">
        <v>79</v>
      </c>
      <c r="G165" s="13" t="s">
        <v>419</v>
      </c>
      <c r="H165" s="12" t="s">
        <v>29</v>
      </c>
      <c r="I165" s="27" t="n">
        <v>46294</v>
      </c>
      <c r="J165" s="13"/>
    </row>
    <row r="166" customFormat="false" ht="29.85" hidden="false" customHeight="false" outlineLevel="0" collapsed="false">
      <c r="A166" s="12" t="n">
        <v>165</v>
      </c>
      <c r="B166" s="11" t="s">
        <v>246</v>
      </c>
      <c r="C166" s="11" t="s">
        <v>416</v>
      </c>
      <c r="D166" s="11" t="s">
        <v>420</v>
      </c>
      <c r="E166" s="13" t="s">
        <v>421</v>
      </c>
      <c r="F166" s="11" t="s">
        <v>79</v>
      </c>
      <c r="G166" s="13" t="s">
        <v>419</v>
      </c>
      <c r="H166" s="12" t="s">
        <v>29</v>
      </c>
      <c r="I166" s="27" t="n">
        <v>46294</v>
      </c>
      <c r="J166" s="13"/>
    </row>
    <row r="167" customFormat="false" ht="15" hidden="false" customHeight="false" outlineLevel="0" collapsed="false">
      <c r="A167" s="12" t="n">
        <v>166</v>
      </c>
      <c r="B167" s="11" t="s">
        <v>246</v>
      </c>
      <c r="C167" s="11" t="s">
        <v>416</v>
      </c>
      <c r="D167" s="11" t="s">
        <v>422</v>
      </c>
      <c r="E167" s="13" t="s">
        <v>423</v>
      </c>
      <c r="F167" s="11" t="s">
        <v>333</v>
      </c>
      <c r="G167" s="13" t="s">
        <v>419</v>
      </c>
      <c r="H167" s="12" t="s">
        <v>29</v>
      </c>
      <c r="I167" s="27" t="n">
        <v>46294</v>
      </c>
      <c r="J167" s="13"/>
    </row>
    <row r="168" customFormat="false" ht="15" hidden="false" customHeight="false" outlineLevel="0" collapsed="false">
      <c r="A168" s="12" t="n">
        <v>167</v>
      </c>
      <c r="B168" s="11" t="s">
        <v>246</v>
      </c>
      <c r="C168" s="11" t="s">
        <v>416</v>
      </c>
      <c r="D168" s="11" t="s">
        <v>424</v>
      </c>
      <c r="E168" s="13" t="s">
        <v>423</v>
      </c>
      <c r="F168" s="11" t="s">
        <v>143</v>
      </c>
      <c r="G168" s="13" t="s">
        <v>419</v>
      </c>
      <c r="H168" s="12" t="s">
        <v>29</v>
      </c>
      <c r="I168" s="27" t="n">
        <v>46294</v>
      </c>
      <c r="J168" s="13"/>
    </row>
    <row r="169" customFormat="false" ht="15" hidden="false" customHeight="false" outlineLevel="0" collapsed="false">
      <c r="A169" s="12" t="n">
        <v>168</v>
      </c>
      <c r="B169" s="11" t="s">
        <v>246</v>
      </c>
      <c r="C169" s="11" t="s">
        <v>416</v>
      </c>
      <c r="D169" s="11" t="s">
        <v>425</v>
      </c>
      <c r="E169" s="13" t="s">
        <v>423</v>
      </c>
      <c r="F169" s="11" t="s">
        <v>122</v>
      </c>
      <c r="G169" s="13" t="s">
        <v>419</v>
      </c>
      <c r="H169" s="12" t="s">
        <v>29</v>
      </c>
      <c r="I169" s="27" t="n">
        <v>46294</v>
      </c>
      <c r="J169" s="13"/>
    </row>
    <row r="170" customFormat="false" ht="15" hidden="false" customHeight="false" outlineLevel="0" collapsed="false">
      <c r="A170" s="12" t="n">
        <v>169</v>
      </c>
      <c r="B170" s="11" t="s">
        <v>246</v>
      </c>
      <c r="C170" s="11" t="s">
        <v>416</v>
      </c>
      <c r="D170" s="11" t="s">
        <v>426</v>
      </c>
      <c r="E170" s="13" t="s">
        <v>427</v>
      </c>
      <c r="F170" s="11" t="s">
        <v>143</v>
      </c>
      <c r="G170" s="13" t="s">
        <v>419</v>
      </c>
      <c r="H170" s="12" t="s">
        <v>29</v>
      </c>
      <c r="I170" s="27" t="n">
        <v>46294</v>
      </c>
      <c r="J170" s="13"/>
    </row>
    <row r="171" customFormat="false" ht="23.85" hidden="false" customHeight="false" outlineLevel="0" collapsed="false">
      <c r="A171" s="12" t="n">
        <v>170</v>
      </c>
      <c r="B171" s="11" t="s">
        <v>246</v>
      </c>
      <c r="C171" s="11" t="s">
        <v>416</v>
      </c>
      <c r="D171" s="11" t="s">
        <v>428</v>
      </c>
      <c r="E171" s="13" t="s">
        <v>429</v>
      </c>
      <c r="F171" s="11" t="s">
        <v>333</v>
      </c>
      <c r="G171" s="13" t="s">
        <v>419</v>
      </c>
      <c r="H171" s="12" t="s">
        <v>29</v>
      </c>
      <c r="I171" s="27" t="n">
        <v>46294</v>
      </c>
      <c r="J171" s="13"/>
    </row>
    <row r="172" customFormat="false" ht="15" hidden="false" customHeight="false" outlineLevel="0" collapsed="false">
      <c r="A172" s="12" t="n">
        <v>171</v>
      </c>
      <c r="B172" s="11" t="s">
        <v>246</v>
      </c>
      <c r="C172" s="11" t="s">
        <v>416</v>
      </c>
      <c r="D172" s="11" t="s">
        <v>430</v>
      </c>
      <c r="E172" s="13" t="s">
        <v>427</v>
      </c>
      <c r="F172" s="11" t="s">
        <v>333</v>
      </c>
      <c r="G172" s="13" t="s">
        <v>419</v>
      </c>
      <c r="H172" s="12" t="s">
        <v>29</v>
      </c>
      <c r="I172" s="27" t="n">
        <v>46294</v>
      </c>
      <c r="J172" s="13"/>
    </row>
    <row r="173" customFormat="false" ht="29.85" hidden="false" customHeight="false" outlineLevel="0" collapsed="false">
      <c r="A173" s="12" t="n">
        <v>172</v>
      </c>
      <c r="B173" s="11" t="s">
        <v>246</v>
      </c>
      <c r="C173" s="11" t="s">
        <v>416</v>
      </c>
      <c r="D173" s="11" t="s">
        <v>431</v>
      </c>
      <c r="E173" s="13" t="s">
        <v>432</v>
      </c>
      <c r="F173" s="11" t="s">
        <v>316</v>
      </c>
      <c r="G173" s="13" t="s">
        <v>419</v>
      </c>
      <c r="H173" s="12" t="s">
        <v>29</v>
      </c>
      <c r="I173" s="27" t="n">
        <v>46294</v>
      </c>
      <c r="J173" s="13"/>
    </row>
    <row r="174" customFormat="false" ht="15" hidden="false" customHeight="false" outlineLevel="0" collapsed="false">
      <c r="A174" s="12" t="n">
        <v>173</v>
      </c>
      <c r="B174" s="11" t="s">
        <v>246</v>
      </c>
      <c r="C174" s="11" t="s">
        <v>416</v>
      </c>
      <c r="D174" s="11" t="s">
        <v>433</v>
      </c>
      <c r="E174" s="13" t="s">
        <v>434</v>
      </c>
      <c r="F174" s="11" t="s">
        <v>363</v>
      </c>
      <c r="G174" s="13" t="s">
        <v>419</v>
      </c>
      <c r="H174" s="12" t="s">
        <v>29</v>
      </c>
      <c r="I174" s="27" t="n">
        <v>46294</v>
      </c>
      <c r="J174" s="13"/>
    </row>
    <row r="175" customFormat="false" ht="29.85" hidden="false" customHeight="false" outlineLevel="0" collapsed="false">
      <c r="A175" s="12" t="n">
        <v>174</v>
      </c>
      <c r="B175" s="11" t="s">
        <v>246</v>
      </c>
      <c r="C175" s="11" t="s">
        <v>416</v>
      </c>
      <c r="D175" s="11" t="s">
        <v>435</v>
      </c>
      <c r="E175" s="13" t="s">
        <v>434</v>
      </c>
      <c r="F175" s="11" t="s">
        <v>436</v>
      </c>
      <c r="G175" s="13" t="s">
        <v>419</v>
      </c>
      <c r="H175" s="12" t="s">
        <v>29</v>
      </c>
      <c r="I175" s="27" t="n">
        <v>46294</v>
      </c>
      <c r="J175" s="13"/>
    </row>
    <row r="176" customFormat="false" ht="15" hidden="false" customHeight="false" outlineLevel="0" collapsed="false">
      <c r="A176" s="12" t="n">
        <v>175</v>
      </c>
      <c r="B176" s="11" t="s">
        <v>246</v>
      </c>
      <c r="C176" s="11" t="s">
        <v>416</v>
      </c>
      <c r="D176" s="11" t="s">
        <v>437</v>
      </c>
      <c r="E176" s="13" t="s">
        <v>434</v>
      </c>
      <c r="F176" s="11" t="s">
        <v>388</v>
      </c>
      <c r="G176" s="13" t="s">
        <v>419</v>
      </c>
      <c r="H176" s="12" t="s">
        <v>29</v>
      </c>
      <c r="I176" s="27" t="n">
        <v>46294</v>
      </c>
      <c r="J176" s="13"/>
    </row>
    <row r="177" customFormat="false" ht="23.85" hidden="false" customHeight="false" outlineLevel="0" collapsed="false">
      <c r="A177" s="12" t="n">
        <v>176</v>
      </c>
      <c r="B177" s="11" t="s">
        <v>246</v>
      </c>
      <c r="C177" s="11" t="s">
        <v>416</v>
      </c>
      <c r="D177" s="11" t="s">
        <v>438</v>
      </c>
      <c r="E177" s="13" t="s">
        <v>439</v>
      </c>
      <c r="F177" s="13" t="s">
        <v>280</v>
      </c>
      <c r="G177" s="13" t="s">
        <v>419</v>
      </c>
      <c r="H177" s="12" t="s">
        <v>29</v>
      </c>
      <c r="I177" s="27" t="n">
        <v>46294</v>
      </c>
      <c r="J177" s="13"/>
    </row>
    <row r="178" customFormat="false" ht="46.25" hidden="false" customHeight="false" outlineLevel="0" collapsed="false">
      <c r="A178" s="12" t="n">
        <v>177</v>
      </c>
      <c r="B178" s="11" t="s">
        <v>246</v>
      </c>
      <c r="C178" s="11" t="s">
        <v>440</v>
      </c>
      <c r="D178" s="11" t="s">
        <v>441</v>
      </c>
      <c r="E178" s="13" t="s">
        <v>442</v>
      </c>
      <c r="F178" s="11" t="s">
        <v>79</v>
      </c>
      <c r="G178" s="13" t="s">
        <v>443</v>
      </c>
      <c r="H178" s="12" t="s">
        <v>29</v>
      </c>
      <c r="I178" s="27" t="n">
        <v>46294</v>
      </c>
      <c r="J178" s="13"/>
    </row>
    <row r="179" customFormat="false" ht="15" hidden="false" customHeight="false" outlineLevel="0" collapsed="false">
      <c r="A179" s="12" t="n">
        <v>178</v>
      </c>
      <c r="B179" s="11" t="s">
        <v>246</v>
      </c>
      <c r="C179" s="11" t="s">
        <v>440</v>
      </c>
      <c r="D179" s="11" t="s">
        <v>444</v>
      </c>
      <c r="E179" s="13" t="s">
        <v>445</v>
      </c>
      <c r="F179" s="11" t="s">
        <v>229</v>
      </c>
      <c r="G179" s="13" t="s">
        <v>443</v>
      </c>
      <c r="H179" s="12" t="s">
        <v>29</v>
      </c>
      <c r="I179" s="27" t="n">
        <v>46294</v>
      </c>
      <c r="J179" s="13"/>
    </row>
    <row r="180" customFormat="false" ht="15" hidden="false" customHeight="false" outlineLevel="0" collapsed="false">
      <c r="A180" s="12" t="n">
        <v>179</v>
      </c>
      <c r="B180" s="11" t="s">
        <v>246</v>
      </c>
      <c r="C180" s="11" t="s">
        <v>440</v>
      </c>
      <c r="D180" s="11" t="s">
        <v>446</v>
      </c>
      <c r="E180" s="13" t="s">
        <v>445</v>
      </c>
      <c r="F180" s="11" t="s">
        <v>143</v>
      </c>
      <c r="G180" s="13" t="s">
        <v>443</v>
      </c>
      <c r="H180" s="12" t="s">
        <v>29</v>
      </c>
      <c r="I180" s="27" t="n">
        <v>46294</v>
      </c>
      <c r="J180" s="13"/>
    </row>
    <row r="181" customFormat="false" ht="15" hidden="false" customHeight="false" outlineLevel="0" collapsed="false">
      <c r="A181" s="12" t="n">
        <v>180</v>
      </c>
      <c r="B181" s="11" t="s">
        <v>246</v>
      </c>
      <c r="C181" s="11" t="s">
        <v>440</v>
      </c>
      <c r="D181" s="11" t="s">
        <v>447</v>
      </c>
      <c r="E181" s="13" t="s">
        <v>445</v>
      </c>
      <c r="F181" s="11" t="s">
        <v>122</v>
      </c>
      <c r="G181" s="13" t="s">
        <v>443</v>
      </c>
      <c r="H181" s="12" t="s">
        <v>29</v>
      </c>
      <c r="I181" s="27" t="n">
        <v>46294</v>
      </c>
      <c r="J181" s="13"/>
    </row>
    <row r="182" customFormat="false" ht="15" hidden="false" customHeight="false" outlineLevel="0" collapsed="false">
      <c r="A182" s="12" t="n">
        <v>181</v>
      </c>
      <c r="B182" s="11" t="s">
        <v>246</v>
      </c>
      <c r="C182" s="11" t="s">
        <v>440</v>
      </c>
      <c r="D182" s="11" t="s">
        <v>448</v>
      </c>
      <c r="E182" s="13" t="s">
        <v>449</v>
      </c>
      <c r="F182" s="11" t="s">
        <v>229</v>
      </c>
      <c r="G182" s="13" t="s">
        <v>443</v>
      </c>
      <c r="H182" s="12" t="s">
        <v>29</v>
      </c>
      <c r="I182" s="27" t="n">
        <v>46294</v>
      </c>
      <c r="J182" s="13"/>
    </row>
    <row r="183" customFormat="false" ht="15" hidden="false" customHeight="false" outlineLevel="0" collapsed="false">
      <c r="A183" s="12" t="n">
        <v>182</v>
      </c>
      <c r="B183" s="11" t="s">
        <v>246</v>
      </c>
      <c r="C183" s="11" t="s">
        <v>440</v>
      </c>
      <c r="D183" s="11" t="s">
        <v>450</v>
      </c>
      <c r="E183" s="13" t="s">
        <v>449</v>
      </c>
      <c r="F183" s="11" t="s">
        <v>229</v>
      </c>
      <c r="G183" s="13" t="s">
        <v>443</v>
      </c>
      <c r="H183" s="12" t="s">
        <v>29</v>
      </c>
      <c r="I183" s="27" t="n">
        <v>46294</v>
      </c>
      <c r="J183" s="13"/>
    </row>
    <row r="184" customFormat="false" ht="15" hidden="false" customHeight="false" outlineLevel="0" collapsed="false">
      <c r="A184" s="12" t="n">
        <v>183</v>
      </c>
      <c r="B184" s="11" t="s">
        <v>246</v>
      </c>
      <c r="C184" s="11" t="s">
        <v>440</v>
      </c>
      <c r="D184" s="11" t="s">
        <v>451</v>
      </c>
      <c r="E184" s="13" t="s">
        <v>449</v>
      </c>
      <c r="F184" s="11" t="s">
        <v>162</v>
      </c>
      <c r="G184" s="13" t="s">
        <v>443</v>
      </c>
      <c r="H184" s="12" t="s">
        <v>29</v>
      </c>
      <c r="I184" s="27" t="n">
        <v>46294</v>
      </c>
      <c r="J184" s="13"/>
    </row>
    <row r="185" customFormat="false" ht="15" hidden="false" customHeight="false" outlineLevel="0" collapsed="false">
      <c r="A185" s="12" t="n">
        <v>184</v>
      </c>
      <c r="B185" s="11" t="s">
        <v>246</v>
      </c>
      <c r="C185" s="11" t="s">
        <v>440</v>
      </c>
      <c r="D185" s="11" t="s">
        <v>452</v>
      </c>
      <c r="E185" s="13" t="s">
        <v>453</v>
      </c>
      <c r="F185" s="11" t="s">
        <v>363</v>
      </c>
      <c r="G185" s="13" t="s">
        <v>443</v>
      </c>
      <c r="H185" s="12" t="s">
        <v>29</v>
      </c>
      <c r="I185" s="27" t="n">
        <v>46294</v>
      </c>
      <c r="J185" s="13"/>
    </row>
    <row r="186" customFormat="false" ht="15" hidden="false" customHeight="false" outlineLevel="0" collapsed="false">
      <c r="A186" s="12" t="n">
        <v>185</v>
      </c>
      <c r="B186" s="11" t="s">
        <v>246</v>
      </c>
      <c r="C186" s="11" t="s">
        <v>440</v>
      </c>
      <c r="D186" s="11" t="s">
        <v>454</v>
      </c>
      <c r="E186" s="13" t="s">
        <v>453</v>
      </c>
      <c r="F186" s="11" t="s">
        <v>388</v>
      </c>
      <c r="G186" s="13" t="s">
        <v>443</v>
      </c>
      <c r="H186" s="12" t="s">
        <v>29</v>
      </c>
      <c r="I186" s="27" t="n">
        <v>46294</v>
      </c>
      <c r="J186" s="13"/>
    </row>
    <row r="187" customFormat="false" ht="15" hidden="false" customHeight="false" outlineLevel="0" collapsed="false">
      <c r="A187" s="12" t="n">
        <v>186</v>
      </c>
      <c r="B187" s="11" t="s">
        <v>246</v>
      </c>
      <c r="C187" s="11" t="s">
        <v>440</v>
      </c>
      <c r="D187" s="11" t="s">
        <v>455</v>
      </c>
      <c r="E187" s="13" t="s">
        <v>453</v>
      </c>
      <c r="F187" s="11" t="s">
        <v>388</v>
      </c>
      <c r="G187" s="13" t="s">
        <v>443</v>
      </c>
      <c r="H187" s="12" t="s">
        <v>29</v>
      </c>
      <c r="I187" s="27" t="n">
        <v>46294</v>
      </c>
      <c r="J187" s="13"/>
    </row>
    <row r="188" customFormat="false" ht="23.85" hidden="false" customHeight="false" outlineLevel="0" collapsed="false">
      <c r="A188" s="12" t="n">
        <v>187</v>
      </c>
      <c r="B188" s="11" t="s">
        <v>246</v>
      </c>
      <c r="C188" s="11" t="s">
        <v>440</v>
      </c>
      <c r="D188" s="11" t="s">
        <v>456</v>
      </c>
      <c r="E188" s="13" t="s">
        <v>457</v>
      </c>
      <c r="F188" s="11" t="s">
        <v>172</v>
      </c>
      <c r="G188" s="13" t="s">
        <v>443</v>
      </c>
      <c r="H188" s="12" t="s">
        <v>29</v>
      </c>
      <c r="I188" s="27" t="n">
        <v>46294</v>
      </c>
      <c r="J188" s="13"/>
    </row>
    <row r="189" customFormat="false" ht="15" hidden="false" customHeight="false" outlineLevel="0" collapsed="false">
      <c r="A189" s="12" t="n">
        <v>188</v>
      </c>
      <c r="B189" s="11" t="s">
        <v>246</v>
      </c>
      <c r="C189" s="11" t="s">
        <v>440</v>
      </c>
      <c r="D189" s="11" t="s">
        <v>458</v>
      </c>
      <c r="E189" s="13" t="s">
        <v>459</v>
      </c>
      <c r="F189" s="13" t="s">
        <v>460</v>
      </c>
      <c r="G189" s="13" t="s">
        <v>443</v>
      </c>
      <c r="H189" s="12" t="s">
        <v>29</v>
      </c>
      <c r="I189" s="27" t="n">
        <v>46294</v>
      </c>
      <c r="J189" s="13"/>
    </row>
    <row r="190" customFormat="false" ht="15" hidden="false" customHeight="false" outlineLevel="0" collapsed="false">
      <c r="A190" s="12" t="n">
        <v>189</v>
      </c>
      <c r="B190" s="11" t="s">
        <v>246</v>
      </c>
      <c r="C190" s="11" t="s">
        <v>440</v>
      </c>
      <c r="D190" s="11" t="s">
        <v>461</v>
      </c>
      <c r="E190" s="13" t="s">
        <v>462</v>
      </c>
      <c r="F190" s="13" t="s">
        <v>280</v>
      </c>
      <c r="G190" s="13" t="s">
        <v>443</v>
      </c>
      <c r="H190" s="12" t="s">
        <v>29</v>
      </c>
      <c r="I190" s="27" t="n">
        <v>46294</v>
      </c>
      <c r="J190" s="13"/>
    </row>
    <row r="191" customFormat="false" ht="35.05" hidden="false" customHeight="false" outlineLevel="0" collapsed="false">
      <c r="A191" s="12" t="n">
        <v>190</v>
      </c>
      <c r="B191" s="11" t="s">
        <v>246</v>
      </c>
      <c r="C191" s="11" t="s">
        <v>440</v>
      </c>
      <c r="D191" s="11" t="s">
        <v>463</v>
      </c>
      <c r="E191" s="13" t="s">
        <v>464</v>
      </c>
      <c r="F191" s="13" t="s">
        <v>286</v>
      </c>
      <c r="G191" s="13" t="s">
        <v>443</v>
      </c>
      <c r="H191" s="12" t="s">
        <v>29</v>
      </c>
      <c r="I191" s="27" t="n">
        <v>46294</v>
      </c>
      <c r="J191" s="13"/>
    </row>
    <row r="192" customFormat="false" ht="29.85" hidden="false" customHeight="false" outlineLevel="0" collapsed="false">
      <c r="A192" s="12" t="n">
        <v>191</v>
      </c>
      <c r="B192" s="11" t="s">
        <v>246</v>
      </c>
      <c r="C192" s="11" t="s">
        <v>465</v>
      </c>
      <c r="D192" s="11" t="s">
        <v>466</v>
      </c>
      <c r="E192" s="13" t="s">
        <v>467</v>
      </c>
      <c r="F192" s="11" t="s">
        <v>79</v>
      </c>
      <c r="G192" s="13" t="s">
        <v>468</v>
      </c>
      <c r="H192" s="12" t="s">
        <v>29</v>
      </c>
      <c r="I192" s="27" t="n">
        <v>46294</v>
      </c>
      <c r="J192" s="13"/>
    </row>
    <row r="193" customFormat="false" ht="15" hidden="false" customHeight="false" outlineLevel="0" collapsed="false">
      <c r="A193" s="12" t="n">
        <v>192</v>
      </c>
      <c r="B193" s="11" t="s">
        <v>246</v>
      </c>
      <c r="C193" s="11" t="s">
        <v>465</v>
      </c>
      <c r="D193" s="11" t="s">
        <v>469</v>
      </c>
      <c r="E193" s="13" t="s">
        <v>470</v>
      </c>
      <c r="F193" s="11" t="s">
        <v>327</v>
      </c>
      <c r="G193" s="13" t="s">
        <v>468</v>
      </c>
      <c r="H193" s="12" t="s">
        <v>29</v>
      </c>
      <c r="I193" s="27" t="n">
        <v>46294</v>
      </c>
      <c r="J193" s="13"/>
    </row>
    <row r="194" customFormat="false" ht="15" hidden="false" customHeight="false" outlineLevel="0" collapsed="false">
      <c r="A194" s="12" t="n">
        <v>193</v>
      </c>
      <c r="B194" s="11" t="s">
        <v>246</v>
      </c>
      <c r="C194" s="11" t="s">
        <v>465</v>
      </c>
      <c r="D194" s="11" t="s">
        <v>471</v>
      </c>
      <c r="E194" s="13" t="s">
        <v>470</v>
      </c>
      <c r="F194" s="11" t="s">
        <v>122</v>
      </c>
      <c r="G194" s="13" t="s">
        <v>468</v>
      </c>
      <c r="H194" s="12" t="s">
        <v>29</v>
      </c>
      <c r="I194" s="27" t="n">
        <v>46294</v>
      </c>
      <c r="J194" s="13"/>
    </row>
    <row r="195" customFormat="false" ht="15" hidden="false" customHeight="false" outlineLevel="0" collapsed="false">
      <c r="A195" s="12" t="n">
        <v>194</v>
      </c>
      <c r="B195" s="11" t="s">
        <v>246</v>
      </c>
      <c r="C195" s="11" t="s">
        <v>465</v>
      </c>
      <c r="D195" s="11" t="s">
        <v>472</v>
      </c>
      <c r="E195" s="13" t="s">
        <v>470</v>
      </c>
      <c r="F195" s="11" t="s">
        <v>122</v>
      </c>
      <c r="G195" s="13" t="s">
        <v>468</v>
      </c>
      <c r="H195" s="12" t="s">
        <v>29</v>
      </c>
      <c r="I195" s="27" t="n">
        <v>46294</v>
      </c>
      <c r="J195" s="13"/>
    </row>
    <row r="196" customFormat="false" ht="23.85" hidden="false" customHeight="false" outlineLevel="0" collapsed="false">
      <c r="A196" s="12" t="n">
        <v>195</v>
      </c>
      <c r="B196" s="11" t="s">
        <v>246</v>
      </c>
      <c r="C196" s="11" t="s">
        <v>465</v>
      </c>
      <c r="D196" s="11" t="s">
        <v>473</v>
      </c>
      <c r="E196" s="13" t="s">
        <v>474</v>
      </c>
      <c r="F196" s="13" t="s">
        <v>280</v>
      </c>
      <c r="G196" s="13" t="s">
        <v>468</v>
      </c>
      <c r="H196" s="12" t="s">
        <v>29</v>
      </c>
      <c r="I196" s="27" t="n">
        <v>46294</v>
      </c>
      <c r="J196" s="13"/>
    </row>
    <row r="197" customFormat="false" ht="15" hidden="false" customHeight="false" outlineLevel="0" collapsed="false">
      <c r="A197" s="12" t="n">
        <v>196</v>
      </c>
      <c r="B197" s="11" t="s">
        <v>475</v>
      </c>
      <c r="C197" s="11" t="s">
        <v>476</v>
      </c>
      <c r="D197" s="11" t="s">
        <v>477</v>
      </c>
      <c r="E197" s="11" t="s">
        <v>372</v>
      </c>
      <c r="F197" s="11" t="s">
        <v>478</v>
      </c>
      <c r="G197" s="13" t="s">
        <v>479</v>
      </c>
      <c r="H197" s="12" t="s">
        <v>29</v>
      </c>
      <c r="I197" s="27" t="n">
        <v>46294</v>
      </c>
      <c r="J197" s="13"/>
    </row>
    <row r="198" customFormat="false" ht="15" hidden="false" customHeight="false" outlineLevel="0" collapsed="false">
      <c r="A198" s="12" t="n">
        <v>197</v>
      </c>
      <c r="B198" s="11" t="s">
        <v>475</v>
      </c>
      <c r="C198" s="11" t="s">
        <v>476</v>
      </c>
      <c r="D198" s="11" t="s">
        <v>480</v>
      </c>
      <c r="E198" s="11" t="s">
        <v>372</v>
      </c>
      <c r="F198" s="11" t="s">
        <v>478</v>
      </c>
      <c r="G198" s="13" t="s">
        <v>479</v>
      </c>
      <c r="H198" s="12" t="s">
        <v>29</v>
      </c>
      <c r="I198" s="27" t="n">
        <v>46294</v>
      </c>
      <c r="J198" s="13"/>
    </row>
    <row r="199" customFormat="false" ht="15" hidden="false" customHeight="false" outlineLevel="0" collapsed="false">
      <c r="A199" s="12" t="n">
        <v>198</v>
      </c>
      <c r="B199" s="11" t="s">
        <v>475</v>
      </c>
      <c r="C199" s="11" t="s">
        <v>476</v>
      </c>
      <c r="D199" s="11" t="s">
        <v>481</v>
      </c>
      <c r="E199" s="11" t="s">
        <v>372</v>
      </c>
      <c r="F199" s="11" t="s">
        <v>478</v>
      </c>
      <c r="G199" s="13" t="s">
        <v>479</v>
      </c>
      <c r="H199" s="12" t="s">
        <v>29</v>
      </c>
      <c r="I199" s="27" t="n">
        <v>46294</v>
      </c>
      <c r="J199" s="13"/>
    </row>
    <row r="200" customFormat="false" ht="15" hidden="false" customHeight="false" outlineLevel="0" collapsed="false">
      <c r="A200" s="12" t="n">
        <v>199</v>
      </c>
      <c r="B200" s="11" t="s">
        <v>475</v>
      </c>
      <c r="C200" s="11" t="s">
        <v>482</v>
      </c>
      <c r="D200" s="11" t="s">
        <v>483</v>
      </c>
      <c r="E200" s="11" t="s">
        <v>372</v>
      </c>
      <c r="F200" s="11" t="s">
        <v>373</v>
      </c>
      <c r="G200" s="13" t="s">
        <v>484</v>
      </c>
      <c r="H200" s="12" t="s">
        <v>29</v>
      </c>
      <c r="I200" s="27" t="n">
        <v>46294</v>
      </c>
      <c r="J200" s="13"/>
    </row>
    <row r="201" customFormat="false" ht="15" hidden="false" customHeight="false" outlineLevel="0" collapsed="false">
      <c r="A201" s="12" t="n">
        <v>200</v>
      </c>
      <c r="B201" s="11" t="s">
        <v>475</v>
      </c>
      <c r="C201" s="11" t="s">
        <v>482</v>
      </c>
      <c r="D201" s="11" t="s">
        <v>485</v>
      </c>
      <c r="E201" s="11" t="s">
        <v>372</v>
      </c>
      <c r="F201" s="11" t="s">
        <v>373</v>
      </c>
      <c r="G201" s="13" t="s">
        <v>484</v>
      </c>
      <c r="H201" s="12" t="s">
        <v>29</v>
      </c>
      <c r="I201" s="27" t="n">
        <v>46294</v>
      </c>
      <c r="J201" s="13"/>
    </row>
    <row r="202" customFormat="false" ht="15" hidden="false" customHeight="false" outlineLevel="0" collapsed="false">
      <c r="A202" s="12" t="n">
        <v>201</v>
      </c>
      <c r="B202" s="11" t="s">
        <v>475</v>
      </c>
      <c r="C202" s="11" t="s">
        <v>482</v>
      </c>
      <c r="D202" s="11" t="s">
        <v>486</v>
      </c>
      <c r="E202" s="11" t="s">
        <v>372</v>
      </c>
      <c r="F202" s="11" t="s">
        <v>162</v>
      </c>
      <c r="G202" s="13" t="s">
        <v>484</v>
      </c>
      <c r="H202" s="12" t="s">
        <v>29</v>
      </c>
      <c r="I202" s="27" t="n">
        <v>46294</v>
      </c>
      <c r="J202" s="13"/>
    </row>
    <row r="203" customFormat="false" ht="15" hidden="false" customHeight="false" outlineLevel="0" collapsed="false">
      <c r="A203" s="12" t="n">
        <v>202</v>
      </c>
      <c r="B203" s="11" t="s">
        <v>475</v>
      </c>
      <c r="C203" s="11" t="s">
        <v>487</v>
      </c>
      <c r="D203" s="13" t="s">
        <v>488</v>
      </c>
      <c r="E203" s="11" t="s">
        <v>372</v>
      </c>
      <c r="F203" s="11" t="s">
        <v>162</v>
      </c>
      <c r="G203" s="13" t="s">
        <v>489</v>
      </c>
      <c r="H203" s="12" t="s">
        <v>29</v>
      </c>
      <c r="I203" s="27" t="n">
        <v>46294</v>
      </c>
      <c r="J203" s="13"/>
    </row>
  </sheetData>
  <autoFilter ref="A1:J203"/>
  <conditionalFormatting sqref="H2:H203">
    <cfRule type="cellIs" priority="2" operator="equal" aboveAverage="0" equalAverage="0" bottom="0" percent="0" rank="0" text="" dxfId="5">
      <formula>"OK"</formula>
    </cfRule>
    <cfRule type="cellIs" priority="3" operator="equal" aboveAverage="0" equalAverage="0" bottom="0" percent="0" rank="0" text="" dxfId="6">
      <formula>"NG"</formula>
    </cfRule>
  </conditionalFormatting>
  <dataValidations count="1">
    <dataValidation allowBlank="true" error="OK / NG / スキップ / 未実施 から選んでください。" errorStyle="stop" operator="between" showDropDown="false" showErrorMessage="false" showInputMessage="false" sqref="H2:H203" type="list">
      <formula1>"OK,NG,スキップ,未実施"</formula1>
      <formula2>0</formula2>
    </dataValidation>
  </dataValidations>
  <printOptions headings="false" gridLines="false" gridLinesSet="true" horizontalCentered="true" verticalCentered="false"/>
  <pageMargins left="0.4" right="0.4"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&amp;C&amp;P /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customHeight="true"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34"/>
    <col collapsed="false" customWidth="true" hidden="false" outlineLevel="0" max="4" min="4" style="0" width="50"/>
    <col collapsed="false" customWidth="true" hidden="false" outlineLevel="0" max="5" min="5" style="0" width="56"/>
    <col collapsed="false" customWidth="true" hidden="false" outlineLevel="0" max="6" min="6" style="0" width="28"/>
    <col collapsed="false" customWidth="true" hidden="false" outlineLevel="0" max="7" min="7" style="0" width="8"/>
    <col collapsed="false" customWidth="true" hidden="false" outlineLevel="0" max="8" min="8" style="0" width="12"/>
    <col collapsed="false" customWidth="true" hidden="false" outlineLevel="0" max="9" min="9" style="0" width="24"/>
  </cols>
  <sheetData>
    <row r="1" customFormat="false" ht="30" hidden="false" customHeight="true" outlineLevel="0" collapsed="false">
      <c r="A1" s="24" t="s">
        <v>62</v>
      </c>
      <c r="B1" s="25" t="s">
        <v>490</v>
      </c>
      <c r="C1" s="25" t="s">
        <v>491</v>
      </c>
      <c r="D1" s="25" t="s">
        <v>492</v>
      </c>
      <c r="E1" s="25" t="s">
        <v>493</v>
      </c>
      <c r="F1" s="25" t="s">
        <v>68</v>
      </c>
      <c r="G1" s="26" t="s">
        <v>69</v>
      </c>
      <c r="H1" s="26" t="s">
        <v>70</v>
      </c>
      <c r="I1" s="26" t="s">
        <v>71</v>
      </c>
    </row>
    <row r="2" customFormat="false" ht="114.9" hidden="false" customHeight="false" outlineLevel="0" collapsed="false">
      <c r="A2" s="12" t="n">
        <v>1</v>
      </c>
      <c r="B2" s="11" t="s">
        <v>494</v>
      </c>
      <c r="C2" s="11" t="s">
        <v>495</v>
      </c>
      <c r="D2" s="13" t="s">
        <v>496</v>
      </c>
      <c r="E2" s="11" t="s">
        <v>497</v>
      </c>
      <c r="F2" s="13" t="s">
        <v>498</v>
      </c>
      <c r="G2" s="12" t="s">
        <v>29</v>
      </c>
      <c r="H2" s="27" t="n">
        <v>46294</v>
      </c>
      <c r="I2" s="13"/>
    </row>
    <row r="3" customFormat="false" ht="29.85" hidden="false" customHeight="false" outlineLevel="0" collapsed="false">
      <c r="A3" s="12" t="n">
        <v>2</v>
      </c>
      <c r="B3" s="11" t="s">
        <v>127</v>
      </c>
      <c r="C3" s="11" t="s">
        <v>499</v>
      </c>
      <c r="D3" s="13" t="s">
        <v>500</v>
      </c>
      <c r="E3" s="11" t="s">
        <v>501</v>
      </c>
      <c r="F3" s="13" t="s">
        <v>498</v>
      </c>
      <c r="G3" s="12" t="s">
        <v>29</v>
      </c>
      <c r="H3" s="27" t="n">
        <v>46294</v>
      </c>
      <c r="I3" s="13"/>
    </row>
    <row r="4" customFormat="false" ht="29.85" hidden="false" customHeight="false" outlineLevel="0" collapsed="false">
      <c r="A4" s="12" t="n">
        <v>3</v>
      </c>
      <c r="B4" s="11" t="s">
        <v>83</v>
      </c>
      <c r="C4" s="11" t="s">
        <v>502</v>
      </c>
      <c r="D4" s="13" t="s">
        <v>503</v>
      </c>
      <c r="E4" s="11" t="s">
        <v>504</v>
      </c>
      <c r="F4" s="13" t="s">
        <v>498</v>
      </c>
      <c r="G4" s="12" t="s">
        <v>29</v>
      </c>
      <c r="H4" s="27" t="n">
        <v>46294</v>
      </c>
      <c r="I4" s="13"/>
    </row>
    <row r="5" customFormat="false" ht="44" hidden="false" customHeight="false" outlineLevel="0" collapsed="false">
      <c r="A5" s="12" t="n">
        <v>4</v>
      </c>
      <c r="B5" s="11" t="s">
        <v>505</v>
      </c>
      <c r="C5" s="11" t="s">
        <v>506</v>
      </c>
      <c r="D5" s="13" t="s">
        <v>507</v>
      </c>
      <c r="E5" s="11" t="s">
        <v>508</v>
      </c>
      <c r="F5" s="13" t="s">
        <v>509</v>
      </c>
      <c r="G5" s="12" t="s">
        <v>29</v>
      </c>
      <c r="H5" s="27" t="n">
        <v>46294</v>
      </c>
      <c r="I5" s="13"/>
    </row>
    <row r="6" customFormat="false" ht="100.7" hidden="false" customHeight="false" outlineLevel="0" collapsed="false">
      <c r="A6" s="12" t="n">
        <v>5</v>
      </c>
      <c r="B6" s="11" t="s">
        <v>510</v>
      </c>
      <c r="C6" s="11" t="s">
        <v>511</v>
      </c>
      <c r="D6" s="13" t="s">
        <v>512</v>
      </c>
      <c r="E6" s="11" t="s">
        <v>513</v>
      </c>
      <c r="F6" s="13" t="s">
        <v>509</v>
      </c>
      <c r="G6" s="12" t="s">
        <v>29</v>
      </c>
      <c r="H6" s="27" t="n">
        <v>46294</v>
      </c>
      <c r="I6" s="13"/>
    </row>
    <row r="7" customFormat="false" ht="58.2" hidden="false" customHeight="false" outlineLevel="0" collapsed="false">
      <c r="A7" s="12" t="n">
        <v>6</v>
      </c>
      <c r="B7" s="11" t="s">
        <v>514</v>
      </c>
      <c r="C7" s="11" t="s">
        <v>515</v>
      </c>
      <c r="D7" s="13" t="s">
        <v>516</v>
      </c>
      <c r="E7" s="11" t="s">
        <v>517</v>
      </c>
      <c r="F7" s="13" t="s">
        <v>518</v>
      </c>
      <c r="G7" s="12" t="s">
        <v>29</v>
      </c>
      <c r="H7" s="27" t="n">
        <v>46294</v>
      </c>
      <c r="I7" s="13"/>
    </row>
  </sheetData>
  <autoFilter ref="A1:I7"/>
  <conditionalFormatting sqref="G2:G7">
    <cfRule type="cellIs" priority="2" operator="equal" aboveAverage="0" equalAverage="0" bottom="0" percent="0" rank="0" text="" dxfId="5">
      <formula>"OK"</formula>
    </cfRule>
    <cfRule type="cellIs" priority="3" operator="equal" aboveAverage="0" equalAverage="0" bottom="0" percent="0" rank="0" text="" dxfId="6">
      <formula>"NG"</formula>
    </cfRule>
  </conditionalFormatting>
  <dataValidations count="1">
    <dataValidation allowBlank="true" error="OK / NG / スキップ / 未実施 から選んでください。" errorStyle="stop" operator="between" showDropDown="false" showErrorMessage="false" showInputMessage="false" sqref="G2:G7" type="list">
      <formula1>"OK,NG,スキップ,未実施"</formula1>
      <formula2>0</formula2>
    </dataValidation>
  </dataValidations>
  <printOptions headings="false" gridLines="false" gridLinesSet="true" horizontalCentered="true" verticalCentered="false"/>
  <pageMargins left="0.4" right="0.4"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&amp;C&amp;P /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2026-09-29T12:07:32Z</dcterms:created>
  <dc:creator>openpyxl</dc:creator>
  <dc:description/>
  <dc:language>en-US</dc:language>
  <cp:lastModifiedBy/>
  <dcterms:modified xsi:type="dcterms:W3CDTF">2026-09-29T12:07:33Z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